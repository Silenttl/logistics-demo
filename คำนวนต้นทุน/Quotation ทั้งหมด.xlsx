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Sheet13" sheetId="2" r:id="rId5"/>
    <sheet state="visible" name="Ptable" sheetId="3" r:id="rId6"/>
    <sheet state="visible" name="C1" sheetId="4" r:id="rId7"/>
    <sheet state="visible" name="SD-P ลำใย" sheetId="5" r:id="rId8"/>
    <sheet state="visible" name="SD-P ทุเรียน" sheetId="6" r:id="rId9"/>
    <sheet state="visible" name="QT-หงซิง(Detail)" sheetId="7" r:id="rId10"/>
    <sheet state="visible" name="QT-หงซิง" sheetId="8" r:id="rId11"/>
    <sheet state="visible" name="Copy of QT-หงซิง" sheetId="9" r:id="rId12"/>
    <sheet state="visible" name="N-P" sheetId="10" r:id="rId13"/>
    <sheet state="visible" name="QTL-P1" sheetId="11" r:id="rId14"/>
    <sheet state="visible" name="QTL-P2" sheetId="12" r:id="rId15"/>
    <sheet state="visible" name="QTS-TJ" sheetId="13" r:id="rId16"/>
    <sheet state="visible" name="SCe- TJ" sheetId="14" r:id="rId17"/>
    <sheet state="visible" name="QT-TJ2" sheetId="15" r:id="rId18"/>
    <sheet state="visible" name="QTS-XDY" sheetId="16" r:id="rId19"/>
    <sheet state="visible" name="QT-QZ" sheetId="17" r:id="rId20"/>
    <sheet state="visible" name="QT-QZ-MICH" sheetId="18" r:id="rId21"/>
    <sheet state="visible" name="QT-QZ-HTY" sheetId="19" r:id="rId22"/>
    <sheet state="visible" name="QT- HK" sheetId="20" r:id="rId23"/>
    <sheet state="visible" name="QT-QD" sheetId="21" r:id="rId24"/>
    <sheet state="visible" name="QT-SK" sheetId="22" r:id="rId25"/>
    <sheet state="visible" name="QT-DL" sheetId="23" r:id="rId26"/>
    <sheet state="visible" name="QT-SH" sheetId="24" r:id="rId27"/>
    <sheet state="visible" name="Copy of QT-SH" sheetId="25" r:id="rId28"/>
    <sheet state="visible" name="SCe-QZ" sheetId="26" r:id="rId29"/>
    <sheet state="visible" name="SCe- HK" sheetId="27" r:id="rId30"/>
    <sheet state="visible" name="SCe- SK" sheetId="28" r:id="rId31"/>
    <sheet state="visible" name="SCe-QD" sheetId="29" r:id="rId32"/>
    <sheet state="visible" name="SCe-DL" sheetId="30" r:id="rId33"/>
    <sheet state="visible" name="SCe- SH" sheetId="31" r:id="rId34"/>
    <sheet state="visible" name="SCe- Blank" sheetId="32" r:id="rId35"/>
    <sheet state="visible" name="SUM-QINZHOU" sheetId="33" r:id="rId36"/>
    <sheet state="visible" name="SUM-HONGKONG" sheetId="34" r:id="rId37"/>
    <sheet state="visible" name="SUM-SHE KOU" sheetId="35" r:id="rId38"/>
    <sheet state="visible" name="SUM-QING DAO" sheetId="36" r:id="rId39"/>
    <sheet state="visible" name="ต้นทุนรถ" sheetId="37" r:id="rId40"/>
    <sheet state="visible" name="PIL-QinZHOU" sheetId="38" r:id="rId41"/>
    <sheet state="visible" name="SITC-QinZHOU" sheetId="39" r:id="rId42"/>
    <sheet state="visible" name="ขนุน-Dec2019" sheetId="40" r:id="rId4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G56">
      <text>
        <t xml:space="preserve">แก้จาก 27500
	-nuttapong chaisuko</t>
      </text>
    </comment>
  </commentList>
</comments>
</file>

<file path=xl/sharedStrings.xml><?xml version="1.0" encoding="utf-8"?>
<sst xmlns="http://schemas.openxmlformats.org/spreadsheetml/2006/main" count="3427" uniqueCount="565">
  <si>
    <t>งานบก</t>
  </si>
  <si>
    <t>สรุปตารางราคาตู้ปก</t>
  </si>
  <si>
    <t>ต้นทุนลำใยสอยดาว-ตู้บก-ทุกด่าน</t>
  </si>
  <si>
    <t>งานเรือ</t>
  </si>
  <si>
    <t>เรือ (สอยดาว) -เปรียบเทียบทุกท่า</t>
  </si>
  <si>
    <t>เรือ (เหนือ) -เปรียบเทียบทุกท่า</t>
  </si>
  <si>
    <t>ตารางเรือไปจีน</t>
  </si>
  <si>
    <t>ตารางเรือ- QINZHOU</t>
  </si>
  <si>
    <t>ตารางเรือ- HK</t>
  </si>
  <si>
    <t>ตารางเรือ- SHE KOU</t>
  </si>
  <si>
    <t>ตารางเรือ- QING DAO</t>
  </si>
  <si>
    <t>Quotation  งานบก</t>
  </si>
  <si>
    <t>Quotation  งานเรือ  LCB - Qinzhou</t>
  </si>
  <si>
    <t>รายการเรียกเก็บค่าใช้จ่ายส่วนเพิ่ม ------ขึ้นของที่ระยอง  ส่วนลดเริ่ม ตู้ที่ออกจากล้ง ตั้งแต่วันที่ 21/04/2020 เป็นต้นไป</t>
  </si>
  <si>
    <t>ลูกค้า</t>
  </si>
  <si>
    <t>ด่านข้ามเวียด-จีน</t>
  </si>
  <si>
    <t>ค่ารถปกติ (ระยอง)</t>
  </si>
  <si>
    <t>ค่ารถเวียดช่วงโควิด</t>
  </si>
  <si>
    <t>ค่ารถส่วนเพิ่มด่าน</t>
  </si>
  <si>
    <t>ค่าเอกสารข้ามด่าน</t>
  </si>
  <si>
    <t>ราคาก่อนส่วนลด</t>
  </si>
  <si>
    <t>รวมค่าเอกสาร</t>
  </si>
  <si>
    <t>ส่วนลด</t>
  </si>
  <si>
    <t>รวมค่าขนส่งเก็บที่ไทย</t>
  </si>
  <si>
    <t>หมายเหตุ</t>
  </si>
  <si>
    <t>คุณเดือน(คุณแก้ว)</t>
  </si>
  <si>
    <t>NONG HUAI</t>
  </si>
  <si>
    <t>คุณแก้วไม่จ่ายเอกสาร</t>
  </si>
  <si>
    <t>TRA LINH-JING XI</t>
  </si>
  <si>
    <t>MA LU THANG-JIN SHUI HE</t>
  </si>
  <si>
    <t>คุณเดือน(อาเฉิน)</t>
  </si>
  <si>
    <t>ลูกค้าจีนจ่ายค่าเอกสารเอง-เปลี่ยนเป็นเหมาจ่ายค่าเอกสาร</t>
  </si>
  <si>
    <t>ระยอง ไป ด่าน</t>
  </si>
  <si>
    <t>คุณเดือน(อาช่าย)</t>
  </si>
  <si>
    <t>คุณเดือน(อาเช๊า)</t>
  </si>
  <si>
    <t>คุณเดือน(อาหยาง)</t>
  </si>
  <si>
    <t>ส่วนลดเริ่ม ตู้ที่ออกจากล้ง ตั้งแต่วันที่ 21/04/2020 เป็นต้นไป</t>
  </si>
  <si>
    <t>รายการเรียกเก็บค่าใช้จ่ายส่วนเพิ่ม ------ขึ้นของที่ประจวบ</t>
  </si>
  <si>
    <t>ลูกค้าจีนจ่ายค่าเอกสารเอง</t>
  </si>
  <si>
    <t>1.รถไทย 38000</t>
  </si>
  <si>
    <t>2.ชิปปิ้งไทย 6500</t>
  </si>
  <si>
    <t>3.ชิปปิ้งลาว 10000</t>
  </si>
  <si>
    <t>4.รถลาว 16000</t>
  </si>
  <si>
    <t>5.ค่าเครน 2000</t>
  </si>
  <si>
    <t>6.รถเวียด 70000</t>
  </si>
  <si>
    <t>7.ค่าออกนอกเส้นทาง</t>
  </si>
  <si>
    <t>7.1.TRA LINH/JING XIเพิ่ม 18500฿</t>
  </si>
  <si>
    <t>7.2.MA LU TANG/JIN SHUI HE เพิ่ม 28000฿</t>
  </si>
  <si>
    <t>กรณี ลูกค้าจ่ายค่าเอกสารเอง</t>
  </si>
  <si>
    <t>8.ค่าซื้อเอกสารเวียดนาม</t>
  </si>
  <si>
    <t>8.1.TRA LINH/JING XI เพิ่ม รอพี่ลัก</t>
  </si>
  <si>
    <t>8.2.MA LU TANG/JIN SHUI HE ไม่มี</t>
  </si>
  <si>
    <t>รวม กรณีเก็บที่ไทยทั้งหมด</t>
  </si>
  <si>
    <t>ราคาอนุมัติ</t>
  </si>
  <si>
    <t>พิกัดขึ้นของ</t>
  </si>
  <si>
    <t>สินค้า</t>
  </si>
  <si>
    <t>ด่านจีน</t>
  </si>
  <si>
    <t>YOU YI GUAN</t>
  </si>
  <si>
    <t>DONG XING</t>
  </si>
  <si>
    <t>TIAN BAO</t>
  </si>
  <si>
    <t>BORTEN</t>
  </si>
  <si>
    <t>สอยดาว</t>
  </si>
  <si>
    <t>ลำใย</t>
  </si>
  <si>
    <t>จันทบุรี</t>
  </si>
  <si>
    <t>ลำพูน/เชียงใหม่</t>
  </si>
  <si>
    <t>แกลง</t>
  </si>
  <si>
    <t>ขนุน</t>
  </si>
  <si>
    <t>ชลบุรี</t>
  </si>
  <si>
    <t>ประจวบคีรีขันธ์</t>
  </si>
  <si>
    <t xml:space="preserve">ประจวบคีรีขันธ์ ไปเติม ระยอง </t>
  </si>
  <si>
    <t>ระยอง  ไปเติม ประจวบคีรีขันธ์</t>
  </si>
  <si>
    <t>ชุมพร</t>
  </si>
  <si>
    <t>มังคุด/ทุเรียน</t>
  </si>
  <si>
    <t>สุราษร์ธานี</t>
  </si>
  <si>
    <t>นครศรีธรรมราช</t>
  </si>
  <si>
    <t>สรุปต้นทุนทางบก</t>
  </si>
  <si>
    <t>เหนือ</t>
  </si>
  <si>
    <t>ประจวบ</t>
  </si>
  <si>
    <t>TIANBAO</t>
  </si>
  <si>
    <t>LACKSAO</t>
  </si>
  <si>
    <t>ตันทุนรถไทย  :</t>
  </si>
  <si>
    <t>เวียด-จีน :</t>
  </si>
  <si>
    <t>ค่าตกค้างรถเวียด(เฉลี่ย) :</t>
  </si>
  <si>
    <t>ชิปปิ้งลาว :</t>
  </si>
  <si>
    <t>ค่าชิปปิ้งไทย :</t>
  </si>
  <si>
    <t xml:space="preserve">ค่าซ่อมบำรุงตู้ : </t>
  </si>
  <si>
    <t>Operation Expense :</t>
  </si>
  <si>
    <t>รวมค่าใช้จ่ายดำเนินการอื่นๆ</t>
  </si>
  <si>
    <t>Price</t>
  </si>
  <si>
    <t>GROSS MARGIN</t>
  </si>
  <si>
    <t>ลำใย-สอยดาว YYG  (ยกท่าแขก)</t>
  </si>
  <si>
    <t>ลำใย-สอยดาว เทียนป่าว (ยกท่าแขก)</t>
  </si>
  <si>
    <t>ลำใย-สอยดาว บ่อเต็น-ตู้เปล่ากลับสอยดาว</t>
  </si>
  <si>
    <t>หลักซาว - เจ้ม่วยสอยดาว (สด)</t>
  </si>
  <si>
    <t>Google Distance</t>
  </si>
  <si>
    <t>นคร-ท่าแขก-นคร</t>
  </si>
  <si>
    <t>นครพนม-สอยดาว</t>
  </si>
  <si>
    <t>สอยดาว-นครพนม</t>
  </si>
  <si>
    <t>เบา</t>
  </si>
  <si>
    <t>หนัก</t>
  </si>
  <si>
    <t>รวม</t>
  </si>
  <si>
    <t>เบา (รถเปล่าไปบรรจุ)</t>
  </si>
  <si>
    <t>หนัก-เบา Fixed</t>
  </si>
  <si>
    <t>เบา+เปล่า</t>
  </si>
  <si>
    <t>นคร-สอยดาว</t>
  </si>
  <si>
    <t>สอยดาว-เชียงของ</t>
  </si>
  <si>
    <t>เชียงของ-บ่อเต็น</t>
  </si>
  <si>
    <t>บ่อเต็น-เชียงของ</t>
  </si>
  <si>
    <t>เชียงของ-สอยดาว</t>
  </si>
  <si>
    <t>นครพนม-เจ้ม่วย</t>
  </si>
  <si>
    <t>เจ้ม่วย-นครพนม</t>
  </si>
  <si>
    <t>นครพนม-หลักซาว-นครพนม</t>
  </si>
  <si>
    <t>ค่าน้ำมัน</t>
  </si>
  <si>
    <t>ระยะทาง</t>
  </si>
  <si>
    <t>ระยะทาง +3%</t>
  </si>
  <si>
    <t>Rate น้ำมัน</t>
  </si>
  <si>
    <t>จำนวนน้ำมัน</t>
  </si>
  <si>
    <t>ราคาน้ำมัน</t>
  </si>
  <si>
    <t>-</t>
  </si>
  <si>
    <t>ปั่นไฟ</t>
  </si>
  <si>
    <t>น้ำมันตู้ไฟ</t>
  </si>
  <si>
    <t>ค่าเที่ยว</t>
  </si>
  <si>
    <t>ค่าสึกหรอ</t>
  </si>
  <si>
    <t>ต้นทุนรวม</t>
  </si>
  <si>
    <t>ตู้เย็นไป+กลับดันเขา</t>
  </si>
  <si>
    <t>ลำใย-ลำพูน (กลับนครพนม)</t>
  </si>
  <si>
    <t>ลำใย-เหนือ บ่อเต็น</t>
  </si>
  <si>
    <t>หลักซาว - ป่าซาง  (สด)</t>
  </si>
  <si>
    <t>นครพนม-ป่าซาง</t>
  </si>
  <si>
    <t>หนักดันเขา</t>
  </si>
  <si>
    <t>ป่าซาง-เชียงของ</t>
  </si>
  <si>
    <t>เชียงของ-ป่าซาง</t>
  </si>
  <si>
    <t>แกลง-ท่าแขก</t>
  </si>
  <si>
    <t>ประจวบ-ท่าแขก</t>
  </si>
  <si>
    <t>นคร-เจ้เดือน</t>
  </si>
  <si>
    <t>เจ้เดือน-นคร</t>
  </si>
  <si>
    <t>นคร-300 ยอด</t>
  </si>
  <si>
    <t>300ยอด-นคร</t>
  </si>
  <si>
    <t>ราคา</t>
  </si>
  <si>
    <t>Gross Margin</t>
  </si>
  <si>
    <t>แกลง-บ่อเต็น</t>
  </si>
  <si>
    <t>ประจวบ-บ่อเต็น</t>
  </si>
  <si>
    <t>เจ้เดือน-เชียงของ</t>
  </si>
  <si>
    <t>300ยอด-เชียงของ</t>
  </si>
  <si>
    <t>ตลาดมรกต(หลังสวน)-แหลม</t>
  </si>
  <si>
    <t>งานเรือ  ลำใยเหนือ-แหลม</t>
  </si>
  <si>
    <t>เรือ สอยดาว-แหลม</t>
  </si>
  <si>
    <t>เหลม-ลำพูน</t>
  </si>
  <si>
    <t>ลำพูน - แหลม</t>
  </si>
  <si>
    <t>แหลม - หลังสวน</t>
  </si>
  <si>
    <t>หลังสวน - แหลม</t>
  </si>
  <si>
    <t>เรือ จันทบุรี-แหลม</t>
  </si>
  <si>
    <t xml:space="preserve">สรุปต้นทุนค่าขนส่งทางเรือ </t>
  </si>
  <si>
    <t>เส้นทาง  LCB - All CHINA SEA PORT</t>
  </si>
  <si>
    <t>ข้อมูล ณ วันที่ 20/11/2019</t>
  </si>
  <si>
    <t>QINZHOU</t>
  </si>
  <si>
    <t>HONG KONG</t>
  </si>
  <si>
    <t>SHE KOU</t>
  </si>
  <si>
    <t>SHE KOU by Agent</t>
  </si>
  <si>
    <t>QING DAO</t>
  </si>
  <si>
    <t>DALIAN</t>
  </si>
  <si>
    <t>SHANGHAI -</t>
  </si>
  <si>
    <t>PIL</t>
  </si>
  <si>
    <t>SITC</t>
  </si>
  <si>
    <t>BEI BU</t>
  </si>
  <si>
    <t>ค่าเฟรทเท่ากันทุกสายเรือ</t>
  </si>
  <si>
    <t>TRANSACTION /明细</t>
  </si>
  <si>
    <t>AMOUNT</t>
  </si>
  <si>
    <t>@ BATH / USD</t>
  </si>
  <si>
    <t>USD</t>
  </si>
  <si>
    <t>THB</t>
  </si>
  <si>
    <t>FREIGHT And OTHER EXPENSE</t>
  </si>
  <si>
    <t>SEA FREIGHT /ค่าระวาง/海运费</t>
  </si>
  <si>
    <t>THC / ค่าเครื่องมือและอุปกรณ์/码头规费</t>
  </si>
  <si>
    <t>LOW SULPHER FUEL SURCHARGE ( LSF)</t>
  </si>
  <si>
    <t>Automatin manifest system</t>
  </si>
  <si>
    <t>SHIPPING EXPENSE</t>
  </si>
  <si>
    <t xml:space="preserve">        SHIPPER'S NAME / ค่าใช้ชื่อผู้ส่งออก/出口商牌照</t>
  </si>
  <si>
    <t xml:space="preserve">        PHYTO  / ไซโต/植检证</t>
  </si>
  <si>
    <t xml:space="preserve">        FORM E / รับรองถิ่นกำเนิด/产地证 </t>
  </si>
  <si>
    <t xml:space="preserve">        HEALTH CERTIFICATE/ใบรับรองสุขอนามัย/健康证</t>
  </si>
  <si>
    <t xml:space="preserve">        SEAL CHARGE / ค่าซีล/海关封条费</t>
  </si>
  <si>
    <t xml:space="preserve">        NEW SEAL/ค่าชิลใหม่/封条毁损（换新）</t>
  </si>
  <si>
    <t xml:space="preserve">        SGS FUMIGATION / ค่ารมควันกำจัดยุง/灭蚊处理+证明</t>
  </si>
  <si>
    <t xml:space="preserve">        CUSTOM CLEAR AT LCB</t>
  </si>
  <si>
    <t xml:space="preserve">         X-RAY</t>
  </si>
  <si>
    <t xml:space="preserve">        DHL / ค่าส่งเอกสารคูเลียร์/快递正本文件</t>
  </si>
  <si>
    <t xml:space="preserve">        B/L + SURRENDER B/L / ค่าใบตราส่งสินค้า/提单+电放提单</t>
  </si>
  <si>
    <t xml:space="preserve">      GATE CHARGE / ค่าผ่านท่า/进码头费用 </t>
  </si>
  <si>
    <t xml:space="preserve">      LIFT ON CHARGE  / ค่ายกตู้/吊柜费     </t>
  </si>
  <si>
    <t xml:space="preserve">      LIFT OFF CHARGE / ค่ายกตู้/吊柜费    + CHOR</t>
  </si>
  <si>
    <t>รวมต้นทุน เรือ และ ชิปปิ้ง</t>
  </si>
  <si>
    <t>สถานที่บรรจุ : สอยดาว</t>
  </si>
  <si>
    <t>TRANSPORTATION CHARGE สอยดาว</t>
  </si>
  <si>
    <t>ต้นทุนรถแหลม-สอยดาว-แหลม 10500</t>
  </si>
  <si>
    <t xml:space="preserve">     TRAILER CHARGE / ค่าหัวลาก陆运费 </t>
  </si>
  <si>
    <t>TOTAL</t>
  </si>
  <si>
    <t>PROMOTION PRICE</t>
  </si>
  <si>
    <t>สถานที่บรรจุ : เหนือ</t>
  </si>
  <si>
    <t>TRANSPORTATION CHARGE เหนือ</t>
  </si>
  <si>
    <t>ต้นทุนรถแหลม-เหนือ-แหลม = 29000</t>
  </si>
  <si>
    <t>สถานที่บรรจุ : หลังสวน</t>
  </si>
  <si>
    <t>TRANSPORTATION EXPENSE</t>
  </si>
  <si>
    <t>SHIPPING</t>
  </si>
  <si>
    <t xml:space="preserve">สรุปค่าขนส่งทางเรือ </t>
  </si>
  <si>
    <t>ข้อมูล ณ วันที่ 14/02/2020</t>
  </si>
  <si>
    <t>EXPORT</t>
  </si>
  <si>
    <t>IMPORT</t>
  </si>
  <si>
    <t>เหนือ-แหลมฉบัง</t>
  </si>
  <si>
    <t>สอยดาว-แหลมฉบัง</t>
  </si>
  <si>
    <t>ชุมพร-แหลมฉบัง</t>
  </si>
  <si>
    <t>แหลม-ตลาดไท</t>
  </si>
  <si>
    <t>จ่ายตามจริง</t>
  </si>
  <si>
    <t>ค่า D/O</t>
  </si>
  <si>
    <t>ค่ามัดจำตู้</t>
  </si>
  <si>
    <t xml:space="preserve">        อ.ย.</t>
  </si>
  <si>
    <t xml:space="preserve">      ค่าโกดัง</t>
  </si>
  <si>
    <t xml:space="preserve">        SERVICE CHARGE</t>
  </si>
  <si>
    <t xml:space="preserve">TRANSPORTATION CHARGE </t>
  </si>
  <si>
    <t>รถหงซิง</t>
  </si>
  <si>
    <t xml:space="preserve">ค่าตกค้าง </t>
  </si>
  <si>
    <t>สินค้าขาออก :  ค่ารถFree 3 คืนนับจากวันที่ถึงล้ง ถ้าเกินกำหนดคิดวันละ 3000 บาท (ไม่รวมค่าปั่นไฟกรณีไม่มีปลักเสียบคิดชั่วโมงละ 150 บาท) ส่วนค่า Detention และ Dumurage วางบิลตามสายเรือวางมาจริง</t>
  </si>
  <si>
    <t>สินค้้าขาเข้า  : ค่ารถFree 2 คืนนับจากวันที่ถึงล้ง ถ้าเกินกำหนดคิดวันละ 3000 บาท (ไม่รวมค่าปั่นไฟกรณีไม่มีปลักเสียบคิดชั่วโมงละ 150 บาท)ส่วนค่า Detention และ Dumurage วางบิลตามสายเรือวางมาจริง</t>
  </si>
  <si>
    <t xml:space="preserve">รายการเสนอราคาค่าขนส่งทางเรือ </t>
  </si>
  <si>
    <t>SHEKOU PORT</t>
  </si>
  <si>
    <t>วันที่  12/06/2020</t>
  </si>
  <si>
    <t>ส่งออก</t>
  </si>
  <si>
    <t>ต้นทาง</t>
  </si>
  <si>
    <t>ราชบุรี</t>
  </si>
  <si>
    <t>ปลายทาง</t>
  </si>
  <si>
    <t>แหลมฉบัง</t>
  </si>
  <si>
    <t>ค่าใช้จ่ายทั้งหมด</t>
  </si>
  <si>
    <t>1)SEA FREIGHT +ค่าใช้จ่ายสายเรือ</t>
  </si>
  <si>
    <t>บาท</t>
  </si>
  <si>
    <t>2)ค่าพิธีการส่งออก ( Shipping )</t>
  </si>
  <si>
    <t>3)ค่ารถบรรทุก</t>
  </si>
  <si>
    <t>รวมค่าขนส่งทั้งหมด</t>
  </si>
  <si>
    <t>ค่าใช้จ่ายอื่นๆ</t>
  </si>
  <si>
    <t>Freetime</t>
  </si>
  <si>
    <t>หากเกินกำหนดมีค่าบริการเพิ่ม</t>
  </si>
  <si>
    <t>ต้นทาง (แหลมฉบัง )</t>
  </si>
  <si>
    <t>1) ค่าใช้จ่ายในการดูแลตู้สินค้าที่ท่าเรือ ( Demurrage Charge )</t>
  </si>
  <si>
    <t>7 Day</t>
  </si>
  <si>
    <t>1200 ฿/Day</t>
  </si>
  <si>
    <t>2) ค่าคืนตู้สินค้าที่ช้าเกินกว่าเวลาที่กำหนด ( Detention Charge )</t>
  </si>
  <si>
    <t>7 Days</t>
  </si>
  <si>
    <t>3) ค่าไฟที่ท่าเรือ</t>
  </si>
  <si>
    <t>1 Day</t>
  </si>
  <si>
    <t>****  จำนวนวันทุกอย่างเริ่มวันที่เรือออกนับ 1</t>
  </si>
  <si>
    <t>ปลายทาง ( ท่าเรือจีน )  ผู้รับของปลายทางเป็นผู้จ่าย</t>
  </si>
  <si>
    <t>อัตราค่าใช้จ่ายปกติ</t>
  </si>
  <si>
    <t>14 Days</t>
  </si>
  <si>
    <t>ชิปปิ้งจีนเป็นคนเจรจาและจ่าย</t>
  </si>
  <si>
    <t>3) ค่าไฟที่ท่าเรือ ( วันที่ยกตู้ลงจากเรือออกนับ 1)</t>
  </si>
  <si>
    <t>联系方式ติดต่อ ได้ที่  :</t>
  </si>
  <si>
    <t>1)客服经理 ผู้จัดการฝ่าย CS ： คุณณัฐพงษ์ ( โจ้)     หมายเลขโทรศัพท์  +6686 983 9491        wechat ID : johunna</t>
  </si>
  <si>
    <t>2)中文客服经理หัวหน้าฝ่ายประสานงานจีน   Mr. Lei Xu (อาเล่ย)  หมายเลขโทรศัพท์   +6697 238 4738       wechat ID : xlbanzhang</t>
  </si>
  <si>
    <t xml:space="preserve">3)中文客服助理ผู้ช่วยฝ่ายผสานงานจีน </t>
  </si>
  <si>
    <t xml:space="preserve">       - Mss.YUHONG TAO (ลูกชิ้น) หมายเลขโทรศัพท์   +6665 926 2516  wechat ID : tyh-228</t>
  </si>
  <si>
    <t xml:space="preserve">       - Mss.MINGHUI  LI  (ลูกจัน) หมายเลขโทรศัพท์   +6693 626 0077  wechat ID : LMH7488336</t>
  </si>
  <si>
    <t>4)出口文件跟单ฝ่ายผสานงานด้านเอกสารการส่งออก  คุณ สุภาพร  ( อันอัน)    หมายเลขโทรศัพท์   +6663 081 4339 wechat ID : Tapila-anan</t>
  </si>
  <si>
    <t xml:space="preserve">   หมายเลขโทรศัพท์   +6663 081 4339 wechat ID : Tapila-anan</t>
  </si>
  <si>
    <t>海运报价单</t>
  </si>
  <si>
    <t>SHANGHAI PORT</t>
  </si>
  <si>
    <t>วันที่  04/12/2019</t>
  </si>
  <si>
    <t xml:space="preserve">工厂  </t>
  </si>
  <si>
    <t xml:space="preserve">运输费用明细 </t>
  </si>
  <si>
    <t>RATCHABURI</t>
  </si>
  <si>
    <t>SOI DOA</t>
  </si>
  <si>
    <t>LAMPHOON  /  CHIANG MAI</t>
  </si>
  <si>
    <t>1)  船运费+海运费用</t>
  </si>
  <si>
    <t>2)  报关手续费 ( Shipping )</t>
  </si>
  <si>
    <t>3)  陆运费</t>
  </si>
  <si>
    <t xml:space="preserve">总计 </t>
  </si>
  <si>
    <t xml:space="preserve">其他费用 </t>
  </si>
  <si>
    <t xml:space="preserve">免费时间 </t>
  </si>
  <si>
    <t xml:space="preserve">如果超时费用 </t>
  </si>
  <si>
    <t>起始点 (林查班 )</t>
  </si>
  <si>
    <t>1) 集装箱在码头服务费用 ( Demurrage Charge )</t>
  </si>
  <si>
    <t>2) 还柜超时费用 ( Detention Charge )</t>
  </si>
  <si>
    <t>3) 码头插电费 ( Electronic Charge )</t>
  </si>
  <si>
    <t xml:space="preserve">正常服务费用 </t>
  </si>
  <si>
    <t>清关公司安排</t>
  </si>
  <si>
    <t>3) 码头插电费 ( Electronic Charge )  ( 从柜子下船当天算起)</t>
  </si>
  <si>
    <t>ท่าเรือปลายทาง</t>
  </si>
  <si>
    <t xml:space="preserve">ตารางเปรียบเทียบ ราคาค่าขนส่งทางเรือ </t>
  </si>
  <si>
    <r>
      <t xml:space="preserve">ต้นทาง   </t>
    </r>
    <r>
      <rPr>
        <b/>
      </rPr>
      <t>ลำพูน / เชียงใหม่</t>
    </r>
  </si>
  <si>
    <t xml:space="preserve"> QINZHOU</t>
  </si>
  <si>
    <t xml:space="preserve">        FORM E / รับรองถิ่นกำเนิด/产地证</t>
  </si>
  <si>
    <t>Freetime ต้นทาง  :</t>
  </si>
  <si>
    <t>0 DAYS</t>
  </si>
  <si>
    <t>Freetime ปลายทาง  :</t>
  </si>
  <si>
    <t>4 DAYS</t>
  </si>
  <si>
    <t>Detention  :</t>
  </si>
  <si>
    <t>14 DAYS</t>
  </si>
  <si>
    <t>บริษัท ไอซีแอล อินเตอร์เนชันแนล  จำกัด</t>
  </si>
  <si>
    <t>43 MU 7 CHAYANGKUL RD. T.BANGSAIYAI A.MUANG MUKDAHAAN THAILAND 49000</t>
  </si>
  <si>
    <t>TEL:042-661-098   MOBILE:086-9839491,0835733999,  FAX:042-661041</t>
  </si>
  <si>
    <t>泰国 ICL 国际物流运输有限公司 บริษัท ไอซีแอล อินเตอร์เนชัลแนล จำกัด</t>
  </si>
  <si>
    <t>2019年12月陆运运输报价表 รายการค่าขนส่งเดือน ธันวาคม 2019</t>
  </si>
  <si>
    <t>友谊关 (โหย่วอี้กวาน)</t>
  </si>
  <si>
    <t>泰国赛道县到友谊关 จากสอยดาว----โหย่วอี้กวาน</t>
  </si>
  <si>
    <t>泰铢/บาท</t>
  </si>
  <si>
    <t>泰国东部尖竹汶到友谊关 จากจันทบุรี----โหย่วอี้กวาน</t>
  </si>
  <si>
    <t>泰国南部春蓬到友谊关 จากหลังสวนชุมพร----โหย่วอี้กวาน</t>
  </si>
  <si>
    <t>泰国南部素叻他尼到友谊关  จากสุราษร์ธานี----โหย่วอี้กวาน</t>
  </si>
  <si>
    <t>泰国南部洛坤到友谊关  จากนครศรีธรรมราช----โหย่วอี้กวาน</t>
  </si>
  <si>
    <t>泰国北部到友谊关 จากภาคเหนือ---โหย่วอี้กวาน</t>
  </si>
  <si>
    <t xml:space="preserve">                   ค่าใช้จ่ายอื่นๆ</t>
  </si>
  <si>
    <t xml:space="preserve">                   1) ค่าตกค้างที่ล้ง  :จอดรอและบรรจุสินค้าที่ล้งได้ฟรี 5วัน หลังจากนั้นคิดค่าตกค้างวันละ</t>
  </si>
  <si>
    <t xml:space="preserve">                      工厂压车费：免费在工厂装货5天，超时则每天加收</t>
  </si>
  <si>
    <t xml:space="preserve">                  2) ค่าตกค้างหน้าด่านไทย  : กรณีให้เสียบไฟรอข้ามฟรี 1วัน หลังจากนั้นคิดค่าตกค้างวันละ</t>
  </si>
  <si>
    <t xml:space="preserve">                      泰国关口压车费：免费在泰国关口打冷一天，超时则每天加收</t>
  </si>
  <si>
    <t xml:space="preserve">                  3) ตกค้างในเวียดนาม : ฟรี 48ชม.หลังจากชิปปิ้งเวียดนามแจ้งให้ชิปปิ้งจีนรับสินค้า หลังจากนั้นคิดค่าตกค้างวันละ</t>
  </si>
  <si>
    <t xml:space="preserve">                      越南压车费：自越南公司通知中国清关公司接货时起，免费压柜48小时，超时则每天加收</t>
  </si>
  <si>
    <t>.</t>
  </si>
  <si>
    <t>天保 (เทียนป่าว)</t>
  </si>
  <si>
    <t>泰国东部尖竹汶到天保 จากสอยดาว /จันทบุรี----เทียนป่าว</t>
  </si>
  <si>
    <t>泰国北部到天保 จากภาคเหนือ----เทียนป่าว</t>
  </si>
  <si>
    <t xml:space="preserve">                  1) ค่าตกค้างที่ล้ง  :จอดรอและบรรจุสินค้าที่ล้งได้ฟรี 5วัน หลังจากนั้นคิดค่าตกค้างวันละ</t>
  </si>
  <si>
    <t xml:space="preserve">                     工厂压车费：免费在工厂装货5天，超时则每天加收</t>
  </si>
  <si>
    <t xml:space="preserve">                 2) ค่าตกค้างหน้าด่านไทย  : กรณีให้เสียบไฟรอข้าม ฟรี 1 วัน หลังจากนั้นคิดค่าตกค้างวันละ</t>
  </si>
  <si>
    <t xml:space="preserve">                    泰国关口压车费：免费在泰国关口打冷一天，超时则每天加收</t>
  </si>
  <si>
    <t xml:space="preserve">                 3) ตกค้างในเวียดนาม : ฟรี48ชม.หลังจากชิปปิ้งเวียดนามแจ้งให้ชิปปิ้งจีนรับสินค้า หลังจากนั้นคิดค่าตกค้างวันละ</t>
  </si>
  <si>
    <t xml:space="preserve">                 4) ค่าติดสติกเกอร์และเคลียร์นายด่านเวียดนาม</t>
  </si>
  <si>
    <t xml:space="preserve">                    标签和越南关口费用</t>
  </si>
  <si>
    <t>磨憨 (บ่อเต็น)</t>
  </si>
  <si>
    <t>泰国东部尖竹汶到磨憨 จากจันทบุรี----บ่อเต็น</t>
  </si>
  <si>
    <t>泰国南部春蓬到磨憨  จากหลังสวนชุมพร----บ่อเต็น</t>
  </si>
  <si>
    <t xml:space="preserve"> 泰国南部素叻他尼到磨憨    จากสุราษร์ธานี----บ่อเต็น</t>
  </si>
  <si>
    <t>泰国南部洛坤到磨憨  จากนครศรีธรรมราช----บ่อเต็น</t>
  </si>
  <si>
    <t xml:space="preserve">                        工厂压车费：免费在工厂装货5天，超时则每天加收</t>
  </si>
  <si>
    <t xml:space="preserve">                        泰国关口压车费：免费在泰国关口打冷一天，超时则每天加收</t>
  </si>
  <si>
    <t xml:space="preserve">                 3) ค่าตกค้างหน้าด่านลาว-จีน  : รถปั่นไฟรอถ่ายของได้ฟรี 1 วัน หลังจากนั้นคิดค่าตกค้างวันละ</t>
  </si>
  <si>
    <t xml:space="preserve">                       老挝磨丁压车费：免费打冷一天，超时则每天加收</t>
  </si>
  <si>
    <t>备注：此运费单自2019年12月1日开始 เริ่มวันที่1 ธันวาคม 2019</t>
  </si>
  <si>
    <t>Tianjin ( 天津港 )</t>
  </si>
  <si>
    <t>Tianjin PORT</t>
  </si>
  <si>
    <t>รายการต้นทุนค่าขนส่ง</t>
  </si>
  <si>
    <t>2- 5 Day =2400 ฿/Day</t>
  </si>
  <si>
    <t>&gt; 5 Days =3200 ฿/Day</t>
  </si>
  <si>
    <t>3 Days</t>
  </si>
  <si>
    <t>4- 7 Day =2400 ฿/Day</t>
  </si>
  <si>
    <t>&gt; 7 Days =3200 ฿/Day</t>
  </si>
  <si>
    <t>800-1200 ฿/Day</t>
  </si>
  <si>
    <t>อัตราพิเศษสำรับ ชิปปิ้งจีนบริษัท กวางสี ยูนิเวอร์ซอล ฟรุ๊ต จำกัด</t>
  </si>
  <si>
    <t>(GUANGXI UNIVERSAL FRUIT CO.,LTD. 广西世宇果业有限公司)</t>
  </si>
  <si>
    <t>&gt;7 Day 20CNY/Day</t>
  </si>
  <si>
    <t>&gt;14 Day 700 CNY/Day</t>
  </si>
  <si>
    <t>&gt;7 Day 230CNY/day</t>
  </si>
  <si>
    <t>4 Days</t>
  </si>
  <si>
    <t>1-10 day 500 CNY/Day</t>
  </si>
  <si>
    <t>&gt;10 day 700 CNY/Day</t>
  </si>
  <si>
    <t>SOIDAO CHANTABURI , THAILAND</t>
  </si>
  <si>
    <t>目的地</t>
  </si>
  <si>
    <t xml:space="preserve">目的地（中国码头）清关公司支付 </t>
  </si>
  <si>
    <t xml:space="preserve">广西世宇果业特权 </t>
  </si>
  <si>
    <t>ตารางเรือออก ปลายทาง Tianjin PORT</t>
  </si>
  <si>
    <t>วันที่เรือออก</t>
  </si>
  <si>
    <t>OOCL</t>
  </si>
  <si>
    <t>COSCO</t>
  </si>
  <si>
    <t>CNC</t>
  </si>
  <si>
    <t>WAN HAI</t>
  </si>
  <si>
    <t>SUNDAY</t>
  </si>
  <si>
    <t>CLOS LCB  放行时间</t>
  </si>
  <si>
    <t>FRI / 03.00 AM</t>
  </si>
  <si>
    <t>ETD  开航时间</t>
  </si>
  <si>
    <t>SUN</t>
  </si>
  <si>
    <t>T/T 天数</t>
  </si>
  <si>
    <t>14 DAY</t>
  </si>
  <si>
    <t>ETA 到港时间</t>
  </si>
  <si>
    <t>MONDAY</t>
  </si>
  <si>
    <t>TUESDAY</t>
  </si>
  <si>
    <t>WEDNESDAY</t>
  </si>
  <si>
    <t>THURSDAY</t>
  </si>
  <si>
    <t>FRIDAY</t>
  </si>
  <si>
    <t>SATURDAY</t>
  </si>
  <si>
    <t xml:space="preserve">TIANJIN PORT ( 天津港 ) </t>
  </si>
  <si>
    <t>วันที่  31/01/2020</t>
  </si>
  <si>
    <t>QINZHOU PORT</t>
  </si>
  <si>
    <t>วันที่  23/11/2019</t>
  </si>
  <si>
    <t>ค่าบริการเพิ่ม</t>
  </si>
  <si>
    <t>1750 ฿/Day</t>
  </si>
  <si>
    <t>5 Days</t>
  </si>
  <si>
    <t>1000 ฿/Day</t>
  </si>
  <si>
    <t>รวมกับ Dumurrage</t>
  </si>
  <si>
    <t>2 Days</t>
  </si>
  <si>
    <t>250 CNY/Day</t>
  </si>
  <si>
    <t>10 Days</t>
  </si>
  <si>
    <t>11-14 Day 450 CNY/Day</t>
  </si>
  <si>
    <t>码头服务费用</t>
  </si>
  <si>
    <t>船运费+海运费用</t>
  </si>
  <si>
    <t>报关手续费</t>
  </si>
  <si>
    <t>陆运费</t>
  </si>
  <si>
    <t>集装箱在码头服务费用</t>
  </si>
  <si>
    <t>还柜超时费用</t>
  </si>
  <si>
    <t>码头插电费</t>
  </si>
  <si>
    <t>&gt; 1 Day 20CNY/Day</t>
  </si>
  <si>
    <t>5-10 Day 500 CNY/Day</t>
  </si>
  <si>
    <t>&gt;10 Day 700 CNY/Day</t>
  </si>
  <si>
    <t>&gt; 1 Day 230CNY/Day</t>
  </si>
  <si>
    <t xml:space="preserve">码头插电费 </t>
  </si>
  <si>
    <t>8-20-25</t>
  </si>
  <si>
    <t>HONG KONG PORT</t>
  </si>
  <si>
    <t>ขึ้นอยู่กับสายเรือ เมื่อมีการจองเรือ ทาง ICL จะแจ้งรายละเอียดอีกครั้ง                                                             每个海运公司不一样  如果有订单  ICL公司再报详细信息</t>
  </si>
  <si>
    <t>ขึ้นอยู่กับสายเรือ เมื่อมีการจองเรือ ทาง ICL จะแจ้งรายละเอียดอีกครั้ง                                                         每个海运公司不一样  如果有订单  ICL公司再报详细信息</t>
  </si>
  <si>
    <t>3) ค่าไฟที่ท่าเรือ ( วันที่ยกตู้ลงจากเรือนับ 1)</t>
  </si>
  <si>
    <t>QING DAO PORT</t>
  </si>
  <si>
    <t xml:space="preserve"> SHE KOU PORT</t>
  </si>
  <si>
    <t>วันที่  01/12/2019</t>
  </si>
  <si>
    <t>1)SEA FREIGHT +ค่าใช้จ่ายสายเรือ ( Qfreight)</t>
  </si>
  <si>
    <t xml:space="preserve">4)出口文件跟单ฝ่ายผสานงานด้านเอกสารการส่งออก  คุณ สุภาพร  ( อันอัน)    หมายเลขโทรศัพท์   +6663 081 4339 </t>
  </si>
  <si>
    <t>ราชบุรี( มะพร้าว)</t>
  </si>
  <si>
    <t>ตารางเรือออก ปลายทาง QINZHOU PORT</t>
  </si>
  <si>
    <t>CUT OFF LCB  结关时间</t>
  </si>
  <si>
    <t>SAT/6.00</t>
  </si>
  <si>
    <t>SAT/12.00</t>
  </si>
  <si>
    <t>T/T 航行天数</t>
  </si>
  <si>
    <t>WED</t>
  </si>
  <si>
    <t>THU</t>
  </si>
  <si>
    <t>TUE/6.00</t>
  </si>
  <si>
    <t>TUE/ 12.00</t>
  </si>
  <si>
    <t>TUE</t>
  </si>
  <si>
    <t>WED/23.59</t>
  </si>
  <si>
    <t>THU/ 12.00</t>
  </si>
  <si>
    <t>FRI</t>
  </si>
  <si>
    <t>ตารางเรือออก ปลายทาง HONG KONG</t>
  </si>
  <si>
    <t>APL 
美国总统</t>
  </si>
  <si>
    <t>EVERGREEN
长荣</t>
  </si>
  <si>
    <t>ZIM/GOLD STAR
以星</t>
  </si>
  <si>
    <t>MCC/MAERSK
马士基</t>
  </si>
  <si>
    <t>OOCL
东方海外</t>
  </si>
  <si>
    <t>WAN HAI
万海</t>
  </si>
  <si>
    <t>YANG MING
阳明</t>
  </si>
  <si>
    <t>HEUNG-A
兴亚</t>
  </si>
  <si>
    <t>TS LINE
德翔</t>
  </si>
  <si>
    <t>SINOKOR
长锦</t>
  </si>
  <si>
    <t>CNC
CMA/CGM
法国达飞</t>
  </si>
  <si>
    <t>COSCO
中国远洋</t>
  </si>
  <si>
    <t>LAI/UNITHAI</t>
  </si>
  <si>
    <t>THU/23.59</t>
  </si>
  <si>
    <t>FRI/23.59</t>
  </si>
  <si>
    <t>SAT/23.39</t>
  </si>
  <si>
    <t>SUN/21.00</t>
  </si>
  <si>
    <t>SAT/17.00</t>
  </si>
  <si>
    <t>SAT/23.59</t>
  </si>
  <si>
    <t>MON/11.59</t>
  </si>
  <si>
    <t>MON</t>
  </si>
  <si>
    <t>SAT</t>
  </si>
  <si>
    <t>TUE/10.00</t>
  </si>
  <si>
    <t>MON/23.59</t>
  </si>
  <si>
    <t>WED/13.00</t>
  </si>
  <si>
    <t>WED/6.00</t>
  </si>
  <si>
    <t>WED/11.59</t>
  </si>
  <si>
    <t>TUE/18.00</t>
  </si>
  <si>
    <t>WED/11.29</t>
  </si>
  <si>
    <t>WED/11.50</t>
  </si>
  <si>
    <t>FRI/13.00</t>
  </si>
  <si>
    <t>FRI/11.00</t>
  </si>
  <si>
    <t>THU/11.59</t>
  </si>
  <si>
    <t>ตารางเรือออก ปลายทาง SHEKOU PORT</t>
  </si>
  <si>
    <t>ICL ใช้ สายเรือนี้</t>
  </si>
  <si>
    <t>APL
美国总统</t>
  </si>
  <si>
    <t>KMTC / TS LINES
德翔</t>
  </si>
  <si>
    <t>CNCCMA/CGM
法国达飞</t>
  </si>
  <si>
    <t>CUT OFF LCB   结关时间</t>
  </si>
  <si>
    <t>SAT/11.59</t>
  </si>
  <si>
    <t>WED/17.00</t>
  </si>
  <si>
    <t>ตารางเรือออก ปลายทาง QINGDAO PORT</t>
  </si>
  <si>
    <t>TS LINES
德翔</t>
  </si>
  <si>
    <t>WAN HAI
万海"</t>
  </si>
  <si>
    <t>HEUNG-A
兴亚"</t>
  </si>
  <si>
    <t xml:space="preserve">"CNC
CMA/CGM
法国达飞"	</t>
  </si>
  <si>
    <t>SAT/24.00</t>
  </si>
  <si>
    <t>WED/04.00</t>
  </si>
  <si>
    <t>TUE/24.00</t>
  </si>
  <si>
    <t>MON/24.00</t>
  </si>
  <si>
    <t>THU/12.00</t>
  </si>
  <si>
    <t>ตารางเรือออก ปลายทาง DALIAN PORT</t>
  </si>
  <si>
    <t>YANG MING 阳明</t>
  </si>
  <si>
    <t>12 DAYS</t>
  </si>
  <si>
    <t>2rd WED</t>
  </si>
  <si>
    <t>ตารางเรือออก ปลายทาง SHANGHAI PORT</t>
  </si>
  <si>
    <t>TSL</t>
  </si>
  <si>
    <t>WHL</t>
  </si>
  <si>
    <t>H-A</t>
  </si>
  <si>
    <t>10 DAY</t>
  </si>
  <si>
    <t>2rd  MON</t>
  </si>
  <si>
    <t>SAT / 24.00</t>
  </si>
  <si>
    <t>9 DAY</t>
  </si>
  <si>
    <t>11 DAY</t>
  </si>
  <si>
    <t>2rd  TUE</t>
  </si>
  <si>
    <t>2rd  THU</t>
  </si>
  <si>
    <t>TUE / 24.00</t>
  </si>
  <si>
    <t>2rd  SUN</t>
  </si>
  <si>
    <t>THU / 12.00</t>
  </si>
  <si>
    <t>2rd  SAT</t>
  </si>
  <si>
    <t>FRI / 02.00 AM</t>
  </si>
  <si>
    <t>7 DAY</t>
  </si>
  <si>
    <t>เส้นทาง  LCB - QinZHOU</t>
  </si>
  <si>
    <t>SEA FREIGT /ค่าระวาง/海运费</t>
  </si>
  <si>
    <t xml:space="preserve">      SHIPPER'S NAME / ค่าใช้ชื่อผู้ส่งออก/出口商牌照</t>
  </si>
  <si>
    <t xml:space="preserve">      PHYTO  / ไซโต/检疫证</t>
  </si>
  <si>
    <t xml:space="preserve">      FORM E / รับรองถิ่นกำเนิด/原产地证</t>
  </si>
  <si>
    <t xml:space="preserve">      HEALTH CERTIFICATE/ใบรับรองสุขอนามัย/健康证</t>
  </si>
  <si>
    <t xml:space="preserve">      SEAL CHARGE / ค่าซีล/海关封条费</t>
  </si>
  <si>
    <t xml:space="preserve">      NEW SEAL/ค่าชิลใหม่/封条毁损（换新）</t>
  </si>
  <si>
    <t xml:space="preserve">      SGS FUMIGATION / ค่ารมควันกำจัดยุง/灭蚊处理+证明</t>
  </si>
  <si>
    <t xml:space="preserve">      CUSTOM CLEAR AT LCB</t>
  </si>
  <si>
    <t xml:space="preserve">      X-RAY</t>
  </si>
  <si>
    <t xml:space="preserve">      DHL / ค่าส่งเอกสารคูเลียร์/快递正本文件</t>
  </si>
  <si>
    <t xml:space="preserve">      B/L + SURRENDER B/L / ค่าใบตราส่งสินค้า/提单+电放提单</t>
  </si>
  <si>
    <t>TRANSPORTATION CHARGE</t>
  </si>
  <si>
    <t xml:space="preserve">     TRAILER CHARGE / ค่าหัวลาก冷藏柜插电拖车费</t>
  </si>
  <si>
    <t xml:space="preserve">      GATE CHARGE / ค่าผ่านท่า/拖车进码头费</t>
  </si>
  <si>
    <r>
      <t>เส้นทาง  LCB -</t>
    </r>
    <r>
      <rPr>
        <color rgb="FF0000FF"/>
      </rPr>
      <t xml:space="preserve"> HONGKONG</t>
    </r>
  </si>
  <si>
    <t>ค่าเฟรท เท่ากันทุกสายเรือ</t>
  </si>
  <si>
    <t>เส้นทาง  LCB - SHE KOU</t>
  </si>
  <si>
    <t>ตารางเรือออก</t>
  </si>
  <si>
    <t>CUT OFF</t>
  </si>
  <si>
    <t>SAT /6.00 AM</t>
  </si>
  <si>
    <t>ETD</t>
  </si>
  <si>
    <t>ETA</t>
  </si>
  <si>
    <t>TUE 6.00AM</t>
  </si>
  <si>
    <t>6-7 DAY</t>
  </si>
  <si>
    <t>WED 23.29 PM</t>
  </si>
  <si>
    <t>5 DAY</t>
  </si>
  <si>
    <t>เส้นทาง  LCB - QING DAO</t>
  </si>
  <si>
    <t xml:space="preserve"> CONTAINER</t>
  </si>
  <si>
    <t>เรือ ซินตงหยวน-แหลม</t>
  </si>
  <si>
    <t>ค่าพิธีการขาเข้าไทย</t>
  </si>
  <si>
    <t>Lift on / off</t>
  </si>
  <si>
    <t>ค่าชอ</t>
  </si>
  <si>
    <t>ผ่านท่า</t>
  </si>
  <si>
    <t>ค่าพิธีการขาออกไทย</t>
  </si>
  <si>
    <t>รวม ค่า พิธีการ</t>
  </si>
  <si>
    <t>รวม ต้นทุนทั้งหมด</t>
  </si>
  <si>
    <t>Gross Magin</t>
  </si>
  <si>
    <t>QUOTATION / 报价单</t>
  </si>
  <si>
    <t>TO :</t>
  </si>
  <si>
    <t>XIN DONG YUAN</t>
  </si>
  <si>
    <t>DATE:</t>
  </si>
  <si>
    <t>20/11/2019</t>
  </si>
  <si>
    <t>FROM :</t>
  </si>
  <si>
    <t>LAEMCHABANG, THAILAND</t>
  </si>
  <si>
    <t>QIN ZHOU PORT ,CHINA</t>
  </si>
  <si>
    <t>PRODUCT :</t>
  </si>
  <si>
    <t>FRESH LONGAN</t>
  </si>
  <si>
    <t>สายเรือ</t>
  </si>
  <si>
    <t>Freetime ต้นทาง</t>
  </si>
  <si>
    <t>Freetime ปลายทาง</t>
  </si>
  <si>
    <t>Detention</t>
  </si>
  <si>
    <t>TEL:042-661-098 MOBILE:086-9839491,0835733999,FAX:042-661041</t>
  </si>
  <si>
    <t>NONG HUAI  - เฉพาะขนุน（菠萝蜜）</t>
  </si>
  <si>
    <t>泰国罗勇庚县到弄怀 จากอ.แกลง จ.ระยอง----NONG HUAI</t>
  </si>
  <si>
    <t>泰国东部春武里府到弄怀 จากชลบุรี---NONG HUAI</t>
  </si>
  <si>
    <t>泰国南部巴庄到弄怀 จากประจวบคีรีขันธ์----NONG HUAI</t>
  </si>
  <si>
    <t>罗勇+巴庄到弄怀 ขึ้นสองที่ ระยอง+ประจวบ----NONG HUAI</t>
  </si>
  <si>
    <t>罗勇+巴庄+罗勇到弄怀 ขึ้นสามที่ ระยอง+ประจวบ+ระยอง----NONG HUAI</t>
  </si>
  <si>
    <t>东兴 (DONGXING) - เฉพาะขนุน（菠萝蜜）</t>
  </si>
  <si>
    <t>泰国罗勇庚县到东兴  จากอ.แกลง จ.ระยอง----DONGXING</t>
  </si>
  <si>
    <t>泰国东部春武里府到东兴  จากชลบุรี---DONGXING</t>
  </si>
  <si>
    <t>泰国南部巴庄到东兴 จากประจวบคีรีขันธ์----DONGXING</t>
  </si>
  <si>
    <t>罗勇+巴庄到东兴  ขึ้นสองที่ ระยอง+ประจวบ----DONGXING</t>
  </si>
  <si>
    <t>罗勇+巴庄+罗勇到东兴 ขึ้นสามที่ ระยอง+ประจวบ+ระยอง----DONGXING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</si>
</sst>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-* #,##0.00_-;\-* #,##0.00_-;_-* &quot;-&quot;??_-;_-@"/>
  </numFmts>
  <fonts count="62">
    <font>
      <sz val="10.0"/>
      <color rgb="FF000000"/>
      <name val="Arial"/>
    </font>
    <font>
      <color theme="1"/>
      <name val="Arial"/>
    </font>
    <font>
      <b/>
      <color theme="1"/>
      <name val="Arial"/>
    </font>
    <font>
      <u/>
      <color rgb="FF0000FF"/>
    </font>
    <font>
      <color rgb="FFFFFF00"/>
      <name val="Arial"/>
    </font>
    <font/>
    <font>
      <color rgb="FF000000"/>
      <name val="Arial"/>
    </font>
    <font>
      <b/>
      <color rgb="FF0000FF"/>
      <name val="Arial"/>
    </font>
    <font>
      <b/>
      <sz val="14.0"/>
      <color theme="1"/>
      <name val="Arial"/>
    </font>
    <font>
      <sz val="11.0"/>
      <color rgb="FF000000"/>
      <name val="Arial"/>
    </font>
    <font>
      <b/>
      <sz val="18.0"/>
      <color theme="1"/>
      <name val="Arial"/>
    </font>
    <font>
      <b/>
      <sz val="14.0"/>
      <color rgb="FFFFFF00"/>
      <name val="Arial"/>
    </font>
    <font>
      <b/>
      <sz val="14.0"/>
      <color rgb="FF000000"/>
      <name val="Arial"/>
    </font>
    <font>
      <sz val="18.0"/>
      <color theme="1"/>
      <name val="Arial"/>
    </font>
    <font>
      <sz val="18.0"/>
      <color rgb="FF000000"/>
      <name val="Calibri"/>
    </font>
    <font>
      <sz val="24.0"/>
      <color rgb="FF000000"/>
      <name val="Calibri"/>
    </font>
    <font>
      <sz val="11.0"/>
      <color rgb="FF000000"/>
      <name val="Calibri"/>
    </font>
    <font>
      <sz val="11.0"/>
      <color rgb="FFFFFFFF"/>
      <name val="Calibri"/>
    </font>
    <font>
      <sz val="11.0"/>
      <color rgb="FFFFFF00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sz val="18.0"/>
      <color rgb="FFFFFF00"/>
      <name val="Calibri"/>
    </font>
    <font>
      <b/>
      <sz val="18.0"/>
      <color rgb="FFFFFF00"/>
      <name val="Arial"/>
    </font>
    <font>
      <sz val="14.0"/>
      <color theme="1"/>
      <name val="Arial"/>
    </font>
    <font>
      <b/>
      <color rgb="FFFFFF00"/>
      <name val="Arial"/>
    </font>
    <font>
      <b/>
      <color rgb="FF4A86E8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color rgb="FFFFFFFF"/>
      <name val="Arial"/>
    </font>
    <font>
      <sz val="14.0"/>
      <color rgb="FFFF0000"/>
      <name val="Arial"/>
    </font>
    <font>
      <color rgb="FFFFFFFF"/>
      <name val="Arial"/>
    </font>
    <font>
      <sz val="12.0"/>
      <color rgb="FFFF0000"/>
      <name val="Arial"/>
    </font>
    <font>
      <sz val="18.0"/>
      <color rgb="FF000000"/>
      <name val="Angsana New"/>
    </font>
    <font>
      <b/>
      <color rgb="FF000000"/>
      <name val="Arial"/>
    </font>
    <font>
      <b/>
      <sz val="18.0"/>
      <color rgb="FF000000"/>
      <name val="Arial"/>
    </font>
    <font>
      <b/>
      <sz val="12.0"/>
      <color rgb="FFFFFFFF"/>
      <name val="Arial"/>
    </font>
    <font>
      <b/>
      <sz val="18.0"/>
      <color rgb="FFFFFFFF"/>
      <name val="Arial"/>
    </font>
    <font>
      <sz val="14.0"/>
      <color rgb="FF000000"/>
      <name val="Browallia New"/>
    </font>
    <font>
      <b/>
      <sz val="11.0"/>
      <color rgb="FF000000"/>
      <name val="Arial Narrow"/>
    </font>
    <font>
      <b/>
      <sz val="22.0"/>
      <color rgb="FF000000"/>
      <name val="Arial Narrow"/>
    </font>
    <font>
      <sz val="11.0"/>
      <color rgb="FF000000"/>
      <name val="Arial Narrow"/>
    </font>
    <font>
      <b/>
      <sz val="24.0"/>
      <color rgb="FF000000"/>
      <name val="Angsana New"/>
    </font>
    <font>
      <sz val="22.0"/>
      <color rgb="FF000000"/>
      <name val="Arial Narrow"/>
    </font>
    <font>
      <sz val="18.0"/>
      <color theme="1"/>
      <name val="Angsana New"/>
    </font>
    <font>
      <sz val="22.0"/>
      <color rgb="FF000000"/>
      <name val="Browallia New"/>
    </font>
    <font>
      <b/>
      <sz val="20.0"/>
      <color rgb="FF000000"/>
      <name val="Angsana New"/>
    </font>
    <font>
      <b/>
      <sz val="18.0"/>
      <color rgb="FF000000"/>
      <name val="Angsana New"/>
    </font>
    <font>
      <sz val="22.0"/>
      <color rgb="FF000000"/>
      <name val="Angsana New"/>
    </font>
    <font>
      <b/>
      <sz val="16.0"/>
      <color rgb="FF000000"/>
      <name val="Angsana New"/>
    </font>
    <font>
      <sz val="16.0"/>
      <color rgb="FF000000"/>
      <name val="Angsana New"/>
    </font>
    <font>
      <sz val="15.0"/>
      <color rgb="FFFF0000"/>
      <name val="Angsana New"/>
    </font>
    <font>
      <sz val="12.0"/>
      <color theme="1"/>
      <name val="Arial"/>
    </font>
    <font>
      <sz val="12.0"/>
      <color rgb="FFFFFFFF"/>
      <name val="Arial"/>
    </font>
    <font>
      <b/>
      <sz val="10.0"/>
      <color rgb="FF000000"/>
      <name val="Arial"/>
    </font>
    <font>
      <sz val="8.0"/>
      <color theme="1"/>
      <name val="Arial"/>
    </font>
    <font>
      <color rgb="FF000000"/>
      <name val="Roboto"/>
    </font>
    <font>
      <sz val="12.0"/>
      <color rgb="FFFF0000"/>
      <name val="Roboto"/>
    </font>
    <font>
      <b/>
      <sz val="9.0"/>
      <color theme="1"/>
      <name val="Arial"/>
    </font>
    <font>
      <color rgb="FFCCCCCC"/>
      <name val="Arial"/>
    </font>
    <font>
      <b/>
      <sz val="36.0"/>
      <color rgb="FF980000"/>
      <name val="Arial"/>
    </font>
    <font>
      <sz val="11.0"/>
      <color theme="1"/>
      <name val="Calibri"/>
    </font>
    <font>
      <sz val="11.0"/>
      <color theme="1"/>
      <name val="Tahoma"/>
    </font>
  </fonts>
  <fills count="3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00FF"/>
        <bgColor rgb="FFFF00FF"/>
      </patternFill>
    </fill>
    <fill>
      <patternFill patternType="solid">
        <fgColor rgb="FF6FA8DC"/>
        <bgColor rgb="FF6FA8DC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C2D69B"/>
        <bgColor rgb="FFC2D69B"/>
      </patternFill>
    </fill>
    <fill>
      <patternFill patternType="solid">
        <fgColor rgb="FFFABF8F"/>
        <bgColor rgb="FFFABF8F"/>
      </patternFill>
    </fill>
    <fill>
      <patternFill patternType="solid">
        <fgColor rgb="FF0B5394"/>
        <bgColor rgb="FF0B5394"/>
      </patternFill>
    </fill>
    <fill>
      <patternFill patternType="solid">
        <fgColor rgb="FFA5A5A5"/>
        <bgColor rgb="FFA5A5A5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205867"/>
        <bgColor rgb="FF205867"/>
      </patternFill>
    </fill>
    <fill>
      <patternFill patternType="solid">
        <fgColor rgb="FF0C0C0C"/>
        <bgColor rgb="FF0C0C0C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  <fill>
      <patternFill patternType="solid">
        <fgColor rgb="FF073763"/>
        <bgColor rgb="FF073763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BFFAA5"/>
        <bgColor rgb="FFBFFAA5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E1FFF0"/>
        <bgColor rgb="FFE1FFF0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</fills>
  <borders count="6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2" fillId="4" fontId="4" numFmtId="49" xfId="0" applyAlignment="1" applyBorder="1" applyFill="1" applyFont="1" applyNumberFormat="1">
      <alignment vertical="center"/>
    </xf>
    <xf borderId="1" fillId="2" fontId="1" numFmtId="0" xfId="0" applyAlignment="1" applyBorder="1" applyFont="1">
      <alignment vertical="bottom"/>
    </xf>
    <xf borderId="1" fillId="0" fontId="1" numFmtId="4" xfId="0" applyAlignment="1" applyBorder="1" applyFont="1" applyNumberFormat="1">
      <alignment horizontal="right" vertical="bottom"/>
    </xf>
    <xf borderId="1" fillId="0" fontId="1" numFmtId="4" xfId="0" applyAlignment="1" applyBorder="1" applyFont="1" applyNumberFormat="1">
      <alignment horizontal="right" readingOrder="0" vertical="bottom"/>
    </xf>
    <xf borderId="1" fillId="0" fontId="1" numFmtId="4" xfId="0" applyAlignment="1" applyBorder="1" applyFont="1" applyNumberFormat="1">
      <alignment readingOrder="0" vertical="bottom"/>
    </xf>
    <xf borderId="1" fillId="0" fontId="1" numFmtId="4" xfId="0" applyAlignment="1" applyBorder="1" applyFont="1" applyNumberFormat="1">
      <alignment vertical="bottom"/>
    </xf>
    <xf borderId="1" fillId="5" fontId="1" numFmtId="0" xfId="0" applyAlignment="1" applyBorder="1" applyFill="1" applyFont="1">
      <alignment readingOrder="0" vertical="bottom"/>
    </xf>
    <xf borderId="3" fillId="0" fontId="5" numFmtId="0" xfId="0" applyBorder="1" applyFont="1"/>
    <xf borderId="1" fillId="6" fontId="1" numFmtId="0" xfId="0" applyAlignment="1" applyBorder="1" applyFill="1" applyFont="1">
      <alignment readingOrder="0" vertical="bottom"/>
    </xf>
    <xf borderId="4" fillId="0" fontId="5" numFmtId="0" xfId="0" applyBorder="1" applyFont="1"/>
    <xf borderId="1" fillId="7" fontId="1" numFmtId="0" xfId="0" applyAlignment="1" applyBorder="1" applyFill="1" applyFont="1">
      <alignment vertical="bottom"/>
    </xf>
    <xf borderId="1" fillId="7" fontId="1" numFmtId="4" xfId="0" applyAlignment="1" applyBorder="1" applyFont="1" applyNumberFormat="1">
      <alignment horizontal="right" vertical="bottom"/>
    </xf>
    <xf borderId="1" fillId="7" fontId="1" numFmtId="4" xfId="0" applyAlignment="1" applyBorder="1" applyFont="1" applyNumberFormat="1">
      <alignment horizontal="right" readingOrder="0" vertical="bottom"/>
    </xf>
    <xf borderId="1" fillId="7" fontId="1" numFmtId="4" xfId="0" applyAlignment="1" applyBorder="1" applyFont="1" applyNumberFormat="1">
      <alignment readingOrder="0" vertical="bottom"/>
    </xf>
    <xf borderId="1" fillId="7" fontId="1" numFmtId="4" xfId="0" applyAlignment="1" applyBorder="1" applyFont="1" applyNumberFormat="1">
      <alignment vertical="bottom"/>
    </xf>
    <xf borderId="1" fillId="7" fontId="1" numFmtId="0" xfId="0" applyAlignment="1" applyBorder="1" applyFont="1">
      <alignment readingOrder="0" vertical="bottom"/>
    </xf>
    <xf borderId="2" fillId="0" fontId="6" numFmtId="49" xfId="0" applyAlignment="1" applyBorder="1" applyFont="1" applyNumberFormat="1">
      <alignment vertical="center"/>
    </xf>
    <xf borderId="1" fillId="8" fontId="1" numFmtId="4" xfId="0" applyAlignment="1" applyBorder="1" applyFill="1" applyFont="1" applyNumberFormat="1">
      <alignment readingOrder="0" vertical="bottom"/>
    </xf>
    <xf borderId="1" fillId="8" fontId="1" numFmtId="4" xfId="0" applyAlignment="1" applyBorder="1" applyFont="1" applyNumberFormat="1">
      <alignment vertical="bottom"/>
    </xf>
    <xf borderId="1" fillId="2" fontId="1" numFmtId="0" xfId="0" applyAlignment="1" applyBorder="1" applyFont="1">
      <alignment readingOrder="0" vertical="bottom"/>
    </xf>
    <xf borderId="0" fillId="0" fontId="1" numFmtId="3" xfId="0" applyFont="1" applyNumberFormat="1"/>
    <xf borderId="1" fillId="0" fontId="1" numFmtId="0" xfId="0" applyAlignment="1" applyBorder="1" applyFont="1">
      <alignment readingOrder="0" vertical="bottom"/>
    </xf>
    <xf borderId="1" fillId="4" fontId="4" numFmtId="49" xfId="0" applyAlignment="1" applyBorder="1" applyFont="1" applyNumberFormat="1">
      <alignment vertical="bottom"/>
    </xf>
    <xf borderId="1" fillId="4" fontId="4" numFmtId="0" xfId="0" applyAlignment="1" applyBorder="1" applyFont="1">
      <alignment vertical="bottom"/>
    </xf>
    <xf borderId="1" fillId="0" fontId="1" numFmtId="49" xfId="0" applyAlignment="1" applyBorder="1" applyFont="1" applyNumberFormat="1">
      <alignment vertical="bottom"/>
    </xf>
    <xf borderId="0" fillId="0" fontId="1" numFmtId="3" xfId="0" applyAlignment="1" applyFont="1" applyNumberFormat="1">
      <alignment readingOrder="0"/>
    </xf>
    <xf borderId="0" fillId="6" fontId="2" numFmtId="3" xfId="0" applyFont="1" applyNumberFormat="1"/>
    <xf borderId="0" fillId="5" fontId="2" numFmtId="3" xfId="0" applyFont="1" applyNumberFormat="1"/>
    <xf borderId="0" fillId="5" fontId="1" numFmtId="3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2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/>
    </xf>
    <xf borderId="6" fillId="0" fontId="5" numFmtId="0" xfId="0" applyBorder="1" applyFont="1"/>
    <xf borderId="7" fillId="0" fontId="5" numFmtId="0" xfId="0" applyBorder="1" applyFont="1"/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readingOrder="0"/>
    </xf>
    <xf borderId="1" fillId="9" fontId="1" numFmtId="3" xfId="0" applyBorder="1" applyFill="1" applyFont="1" applyNumberFormat="1"/>
    <xf borderId="1" fillId="0" fontId="1" numFmtId="3" xfId="0" applyBorder="1" applyFont="1" applyNumberFormat="1"/>
    <xf borderId="1" fillId="0" fontId="1" numFmtId="3" xfId="0" applyAlignment="1" applyBorder="1" applyFont="1" applyNumberFormat="1">
      <alignment horizontal="center"/>
    </xf>
    <xf borderId="1" fillId="6" fontId="1" numFmtId="3" xfId="0" applyAlignment="1" applyBorder="1" applyFont="1" applyNumberFormat="1">
      <alignment readingOrder="0"/>
    </xf>
    <xf borderId="0" fillId="0" fontId="8" numFmtId="0" xfId="0" applyAlignment="1" applyFont="1">
      <alignment horizontal="center" readingOrder="0"/>
    </xf>
    <xf borderId="8" fillId="0" fontId="8" numFmtId="0" xfId="0" applyAlignment="1" applyBorder="1" applyFont="1">
      <alignment horizontal="center" readingOrder="0"/>
    </xf>
    <xf borderId="9" fillId="0" fontId="5" numFmtId="0" xfId="0" applyBorder="1" applyFont="1"/>
    <xf borderId="10" fillId="0" fontId="5" numFmtId="0" xfId="0" applyBorder="1" applyFont="1"/>
    <xf borderId="0" fillId="0" fontId="1" numFmtId="0" xfId="0" applyAlignment="1" applyFont="1">
      <alignment vertical="bottom"/>
    </xf>
    <xf borderId="0" fillId="0" fontId="9" numFmtId="0" xfId="0" applyAlignment="1" applyFont="1">
      <alignment horizontal="right" readingOrder="0" vertical="bottom"/>
    </xf>
    <xf borderId="11" fillId="3" fontId="1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horizontal="center" readingOrder="0"/>
    </xf>
    <xf borderId="5" fillId="3" fontId="6" numFmtId="0" xfId="0" applyAlignment="1" applyBorder="1" applyFont="1">
      <alignment horizontal="center" readingOrder="0"/>
    </xf>
    <xf borderId="12" fillId="10" fontId="4" numFmtId="0" xfId="0" applyAlignment="1" applyBorder="1" applyFill="1" applyFont="1">
      <alignment horizontal="center" readingOrder="0"/>
    </xf>
    <xf borderId="11" fillId="11" fontId="1" numFmtId="0" xfId="0" applyAlignment="1" applyBorder="1" applyFill="1" applyFont="1">
      <alignment horizontal="center" readingOrder="0" vertical="bottom"/>
    </xf>
    <xf borderId="5" fillId="10" fontId="4" numFmtId="0" xfId="0" applyAlignment="1" applyBorder="1" applyFont="1">
      <alignment horizontal="center" readingOrder="0"/>
    </xf>
    <xf borderId="13" fillId="0" fontId="1" numFmtId="0" xfId="0" applyAlignment="1" applyBorder="1" applyFont="1">
      <alignment vertical="bottom"/>
    </xf>
    <xf borderId="14" fillId="0" fontId="1" numFmtId="0" xfId="0" applyBorder="1" applyFont="1"/>
    <xf borderId="0" fillId="12" fontId="1" numFmtId="0" xfId="0" applyFill="1" applyFont="1"/>
    <xf borderId="0" fillId="0" fontId="2" numFmtId="0" xfId="0" applyAlignment="1" applyFont="1">
      <alignment horizontal="right" readingOrder="0"/>
    </xf>
    <xf borderId="11" fillId="0" fontId="2" numFmtId="3" xfId="0" applyBorder="1" applyFont="1" applyNumberFormat="1"/>
    <xf borderId="1" fillId="0" fontId="2" numFmtId="3" xfId="0" applyBorder="1" applyFont="1" applyNumberFormat="1"/>
    <xf borderId="5" fillId="0" fontId="2" numFmtId="3" xfId="0" applyBorder="1" applyFont="1" applyNumberFormat="1"/>
    <xf borderId="12" fillId="0" fontId="2" numFmtId="3" xfId="0" applyBorder="1" applyFont="1" applyNumberFormat="1"/>
    <xf borderId="1" fillId="12" fontId="2" numFmtId="3" xfId="0" applyBorder="1" applyFont="1" applyNumberFormat="1"/>
    <xf borderId="0" fillId="0" fontId="1" numFmtId="0" xfId="0" applyAlignment="1" applyFont="1">
      <alignment horizontal="right" vertical="bottom"/>
    </xf>
    <xf borderId="11" fillId="0" fontId="1" numFmtId="3" xfId="0" applyAlignment="1" applyBorder="1" applyFont="1" applyNumberFormat="1">
      <alignment horizontal="right" vertical="bottom"/>
    </xf>
    <xf borderId="5" fillId="3" fontId="2" numFmtId="3" xfId="0" applyAlignment="1" applyBorder="1" applyFont="1" applyNumberFormat="1">
      <alignment readingOrder="0"/>
    </xf>
    <xf borderId="12" fillId="3" fontId="1" numFmtId="3" xfId="0" applyBorder="1" applyFont="1" applyNumberFormat="1"/>
    <xf borderId="5" fillId="0" fontId="2" numFmtId="3" xfId="0" applyAlignment="1" applyBorder="1" applyFont="1" applyNumberFormat="1">
      <alignment readingOrder="0"/>
    </xf>
    <xf borderId="12" fillId="0" fontId="1" numFmtId="3" xfId="0" applyBorder="1" applyFont="1" applyNumberFormat="1"/>
    <xf borderId="1" fillId="12" fontId="1" numFmtId="3" xfId="0" applyBorder="1" applyFont="1" applyNumberFormat="1"/>
    <xf borderId="5" fillId="0" fontId="1" numFmtId="3" xfId="0" applyBorder="1" applyFont="1" applyNumberFormat="1"/>
    <xf borderId="0" fillId="0" fontId="1" numFmtId="0" xfId="0" applyAlignment="1" applyFont="1">
      <alignment horizontal="right" shrinkToFit="0" vertical="bottom" wrapText="0"/>
    </xf>
    <xf borderId="5" fillId="3" fontId="2" numFmtId="3" xfId="0" applyBorder="1" applyFont="1" applyNumberFormat="1"/>
    <xf borderId="12" fillId="5" fontId="1" numFmtId="3" xfId="0" applyAlignment="1" applyBorder="1" applyFont="1" applyNumberFormat="1">
      <alignment readingOrder="0"/>
    </xf>
    <xf borderId="15" fillId="6" fontId="1" numFmtId="3" xfId="0" applyAlignment="1" applyBorder="1" applyFont="1" applyNumberFormat="1">
      <alignment horizontal="right" readingOrder="0" vertical="center"/>
    </xf>
    <xf borderId="16" fillId="6" fontId="1" numFmtId="3" xfId="0" applyAlignment="1" applyBorder="1" applyFont="1" applyNumberFormat="1">
      <alignment horizontal="right" readingOrder="0" vertical="center"/>
    </xf>
    <xf borderId="17" fillId="0" fontId="5" numFmtId="0" xfId="0" applyBorder="1" applyFont="1"/>
    <xf borderId="18" fillId="0" fontId="5" numFmtId="0" xfId="0" applyBorder="1" applyFont="1"/>
    <xf borderId="12" fillId="0" fontId="1" numFmtId="3" xfId="0" applyAlignment="1" applyBorder="1" applyFont="1" applyNumberFormat="1">
      <alignment readingOrder="0"/>
    </xf>
    <xf borderId="5" fillId="0" fontId="1" numFmtId="3" xfId="0" applyAlignment="1" applyBorder="1" applyFont="1" applyNumberFormat="1">
      <alignment readingOrder="0"/>
    </xf>
    <xf borderId="0" fillId="0" fontId="2" numFmtId="0" xfId="0" applyAlignment="1" applyFont="1">
      <alignment horizontal="right" shrinkToFit="0" vertical="bottom" wrapText="0"/>
    </xf>
    <xf borderId="11" fillId="6" fontId="8" numFmtId="3" xfId="0" applyAlignment="1" applyBorder="1" applyFont="1" applyNumberFormat="1">
      <alignment horizontal="right" vertical="bottom"/>
    </xf>
    <xf borderId="1" fillId="6" fontId="8" numFmtId="3" xfId="0" applyAlignment="1" applyBorder="1" applyFont="1" applyNumberFormat="1">
      <alignment horizontal="right" vertical="bottom"/>
    </xf>
    <xf borderId="12" fillId="6" fontId="8" numFmtId="3" xfId="0" applyAlignment="1" applyBorder="1" applyFont="1" applyNumberFormat="1">
      <alignment horizontal="right" vertical="bottom"/>
    </xf>
    <xf borderId="1" fillId="12" fontId="8" numFmtId="3" xfId="0" applyAlignment="1" applyBorder="1" applyFont="1" applyNumberFormat="1">
      <alignment horizontal="right" vertical="bottom"/>
    </xf>
    <xf borderId="5" fillId="6" fontId="8" numFmtId="3" xfId="0" applyAlignment="1" applyBorder="1" applyFont="1" applyNumberFormat="1">
      <alignment horizontal="right" vertical="bottom"/>
    </xf>
    <xf borderId="13" fillId="0" fontId="1" numFmtId="0" xfId="0" applyBorder="1" applyFont="1"/>
    <xf borderId="0" fillId="0" fontId="10" numFmtId="0" xfId="0" applyAlignment="1" applyFont="1">
      <alignment horizontal="right" vertical="bottom"/>
    </xf>
    <xf borderId="11" fillId="13" fontId="11" numFmtId="3" xfId="0" applyAlignment="1" applyBorder="1" applyFill="1" applyFont="1" applyNumberFormat="1">
      <alignment horizontal="right" vertical="bottom"/>
    </xf>
    <xf borderId="1" fillId="13" fontId="11" numFmtId="3" xfId="0" applyAlignment="1" applyBorder="1" applyFont="1" applyNumberFormat="1">
      <alignment horizontal="right" readingOrder="0" vertical="bottom"/>
    </xf>
    <xf borderId="5" fillId="13" fontId="11" numFmtId="3" xfId="0" applyAlignment="1" applyBorder="1" applyFont="1" applyNumberFormat="1">
      <alignment horizontal="right" readingOrder="0" vertical="bottom"/>
    </xf>
    <xf borderId="12" fillId="13" fontId="11" numFmtId="3" xfId="0" applyAlignment="1" applyBorder="1" applyFont="1" applyNumberFormat="1">
      <alignment horizontal="right" readingOrder="0" vertical="bottom"/>
    </xf>
    <xf borderId="11" fillId="13" fontId="11" numFmtId="3" xfId="0" applyAlignment="1" applyBorder="1" applyFont="1" applyNumberFormat="1">
      <alignment horizontal="right" readingOrder="0" vertical="bottom"/>
    </xf>
    <xf borderId="7" fillId="13" fontId="11" numFmtId="3" xfId="0" applyAlignment="1" applyBorder="1" applyFont="1" applyNumberFormat="1">
      <alignment horizontal="right" readingOrder="0" vertical="bottom"/>
    </xf>
    <xf borderId="6" fillId="13" fontId="11" numFmtId="3" xfId="0" applyAlignment="1" applyBorder="1" applyFont="1" applyNumberFormat="1">
      <alignment horizontal="right" readingOrder="0" vertical="bottom"/>
    </xf>
    <xf borderId="19" fillId="13" fontId="11" numFmtId="3" xfId="0" applyAlignment="1" applyBorder="1" applyFont="1" applyNumberFormat="1">
      <alignment horizontal="right" readingOrder="0" vertical="bottom"/>
    </xf>
    <xf borderId="1" fillId="12" fontId="11" numFmtId="3" xfId="0" applyAlignment="1" applyBorder="1" applyFont="1" applyNumberFormat="1">
      <alignment horizontal="right" readingOrder="0" vertical="bottom"/>
    </xf>
    <xf borderId="20" fillId="2" fontId="12" numFmtId="3" xfId="0" applyAlignment="1" applyBorder="1" applyFont="1" applyNumberFormat="1">
      <alignment horizontal="right" vertical="bottom"/>
    </xf>
    <xf borderId="21" fillId="2" fontId="12" numFmtId="3" xfId="0" applyAlignment="1" applyBorder="1" applyFont="1" applyNumberFormat="1">
      <alignment horizontal="right" vertical="bottom"/>
    </xf>
    <xf borderId="22" fillId="2" fontId="12" numFmtId="3" xfId="0" applyAlignment="1" applyBorder="1" applyFont="1" applyNumberFormat="1">
      <alignment horizontal="right" vertical="bottom"/>
    </xf>
    <xf borderId="21" fillId="8" fontId="12" numFmtId="3" xfId="0" applyAlignment="1" applyBorder="1" applyFont="1" applyNumberFormat="1">
      <alignment horizontal="right" vertical="bottom"/>
    </xf>
    <xf borderId="23" fillId="2" fontId="12" numFmtId="3" xfId="0" applyAlignment="1" applyBorder="1" applyFont="1" applyNumberFormat="1">
      <alignment horizontal="right" vertical="bottom"/>
    </xf>
    <xf borderId="24" fillId="0" fontId="1" numFmtId="0" xfId="0" applyAlignment="1" applyBorder="1" applyFont="1">
      <alignment vertical="bottom"/>
    </xf>
    <xf borderId="0" fillId="0" fontId="13" numFmtId="0" xfId="0" applyFont="1"/>
    <xf borderId="5" fillId="6" fontId="14" numFmtId="0" xfId="0" applyAlignment="1" applyBorder="1" applyFont="1">
      <alignment horizontal="center" readingOrder="0" shrinkToFit="0" vertical="bottom" wrapText="0"/>
    </xf>
    <xf borderId="25" fillId="0" fontId="13" numFmtId="0" xfId="0" applyAlignment="1" applyBorder="1" applyFont="1">
      <alignment vertical="bottom"/>
    </xf>
    <xf borderId="6" fillId="6" fontId="14" numFmtId="0" xfId="0" applyAlignment="1" applyBorder="1" applyFont="1">
      <alignment horizontal="center" readingOrder="0" vertical="bottom"/>
    </xf>
    <xf borderId="6" fillId="6" fontId="14" numFmtId="0" xfId="0" applyAlignment="1" applyBorder="1" applyFont="1">
      <alignment horizontal="center" vertical="bottom"/>
    </xf>
    <xf borderId="0" fillId="0" fontId="14" numFmtId="0" xfId="0" applyAlignment="1" applyFont="1">
      <alignment horizontal="center" vertical="bottom"/>
    </xf>
    <xf borderId="25" fillId="0" fontId="1" numFmtId="0" xfId="0" applyAlignment="1" applyBorder="1" applyFont="1">
      <alignment vertical="bottom"/>
    </xf>
    <xf borderId="6" fillId="6" fontId="15" numFmtId="0" xfId="0" applyAlignment="1" applyBorder="1" applyFont="1">
      <alignment horizontal="center" vertical="bottom"/>
    </xf>
    <xf borderId="26" fillId="0" fontId="1" numFmtId="0" xfId="0" applyAlignment="1" applyBorder="1" applyFont="1">
      <alignment vertical="bottom"/>
    </xf>
    <xf borderId="0" fillId="0" fontId="9" numFmtId="0" xfId="0" applyAlignment="1" applyFont="1">
      <alignment horizontal="right" vertical="bottom"/>
    </xf>
    <xf borderId="27" fillId="0" fontId="9" numFmtId="0" xfId="0" applyAlignment="1" applyBorder="1" applyFont="1">
      <alignment vertical="bottom"/>
    </xf>
    <xf borderId="26" fillId="0" fontId="9" numFmtId="0" xfId="0" applyAlignment="1" applyBorder="1" applyFont="1">
      <alignment vertical="bottom"/>
    </xf>
    <xf borderId="28" fillId="0" fontId="9" numFmtId="0" xfId="0" applyAlignment="1" applyBorder="1" applyFont="1">
      <alignment shrinkToFit="0" vertical="bottom" wrapText="0"/>
    </xf>
    <xf borderId="27" fillId="14" fontId="16" numFmtId="0" xfId="0" applyAlignment="1" applyBorder="1" applyFill="1" applyFont="1">
      <alignment horizontal="center" vertical="bottom"/>
    </xf>
    <xf borderId="27" fillId="15" fontId="16" numFmtId="0" xfId="0" applyAlignment="1" applyBorder="1" applyFill="1" applyFont="1">
      <alignment horizontal="center" vertical="bottom"/>
    </xf>
    <xf borderId="27" fillId="7" fontId="17" numFmtId="0" xfId="0" applyAlignment="1" applyBorder="1" applyFont="1">
      <alignment horizontal="center" vertical="bottom"/>
    </xf>
    <xf borderId="0" fillId="0" fontId="17" numFmtId="0" xfId="0" applyAlignment="1" applyFont="1">
      <alignment horizontal="center" vertical="bottom"/>
    </xf>
    <xf borderId="27" fillId="16" fontId="18" numFmtId="0" xfId="0" applyAlignment="1" applyBorder="1" applyFill="1" applyFont="1">
      <alignment horizontal="center" vertical="bottom"/>
    </xf>
    <xf borderId="27" fillId="14" fontId="1" numFmtId="0" xfId="0" applyAlignment="1" applyBorder="1" applyFont="1">
      <alignment vertical="bottom"/>
    </xf>
    <xf borderId="1" fillId="14" fontId="16" numFmtId="0" xfId="0" applyAlignment="1" applyBorder="1" applyFont="1">
      <alignment horizontal="center" vertical="bottom"/>
    </xf>
    <xf borderId="7" fillId="15" fontId="16" numFmtId="0" xfId="0" applyAlignment="1" applyBorder="1" applyFont="1">
      <alignment horizontal="center" vertical="bottom"/>
    </xf>
    <xf borderId="27" fillId="0" fontId="1" numFmtId="0" xfId="0" applyAlignment="1" applyBorder="1" applyFont="1">
      <alignment vertical="bottom"/>
    </xf>
    <xf borderId="27" fillId="0" fontId="9" numFmtId="0" xfId="0" applyAlignment="1" applyBorder="1" applyFont="1">
      <alignment horizontal="right" vertical="bottom"/>
    </xf>
    <xf borderId="27" fillId="0" fontId="16" numFmtId="0" xfId="0" applyAlignment="1" applyBorder="1" applyFont="1">
      <alignment vertical="bottom"/>
    </xf>
    <xf borderId="3" fillId="17" fontId="16" numFmtId="0" xfId="0" applyAlignment="1" applyBorder="1" applyFill="1" applyFont="1">
      <alignment vertical="bottom"/>
    </xf>
    <xf borderId="25" fillId="17" fontId="1" numFmtId="0" xfId="0" applyAlignment="1" applyBorder="1" applyFont="1">
      <alignment vertical="bottom"/>
    </xf>
    <xf borderId="25" fillId="18" fontId="1" numFmtId="0" xfId="0" applyAlignment="1" applyBorder="1" applyFill="1" applyFont="1">
      <alignment vertical="bottom"/>
    </xf>
    <xf borderId="3" fillId="17" fontId="16" numFmtId="3" xfId="0" applyAlignment="1" applyBorder="1" applyFont="1" applyNumberFormat="1">
      <alignment vertical="bottom"/>
    </xf>
    <xf borderId="25" fillId="17" fontId="1" numFmtId="3" xfId="0" applyAlignment="1" applyBorder="1" applyFont="1" applyNumberFormat="1">
      <alignment vertical="bottom"/>
    </xf>
    <xf borderId="25" fillId="0" fontId="1" numFmtId="3" xfId="0" applyAlignment="1" applyBorder="1" applyFont="1" applyNumberFormat="1">
      <alignment vertical="bottom"/>
    </xf>
    <xf borderId="3" fillId="0" fontId="16" numFmtId="0" xfId="0" applyAlignment="1" applyBorder="1" applyFont="1">
      <alignment vertical="bottom"/>
    </xf>
    <xf borderId="25" fillId="0" fontId="16" numFmtId="1" xfId="0" applyAlignment="1" applyBorder="1" applyFont="1" applyNumberFormat="1">
      <alignment horizontal="right" readingOrder="0" vertical="bottom"/>
    </xf>
    <xf borderId="25" fillId="0" fontId="16" numFmtId="1" xfId="0" applyAlignment="1" applyBorder="1" applyFont="1" applyNumberFormat="1">
      <alignment horizontal="right" vertical="bottom"/>
    </xf>
    <xf borderId="25" fillId="0" fontId="16" numFmtId="3" xfId="0" applyAlignment="1" applyBorder="1" applyFont="1" applyNumberFormat="1">
      <alignment vertical="bottom"/>
    </xf>
    <xf borderId="25" fillId="19" fontId="1" numFmtId="1" xfId="0" applyAlignment="1" applyBorder="1" applyFill="1" applyFont="1" applyNumberFormat="1">
      <alignment vertical="bottom"/>
    </xf>
    <xf borderId="0" fillId="0" fontId="16" numFmtId="3" xfId="0" applyAlignment="1" applyFont="1" applyNumberFormat="1">
      <alignment vertical="bottom"/>
    </xf>
    <xf borderId="25" fillId="0" fontId="16" numFmtId="2" xfId="0" applyAlignment="1" applyBorder="1" applyFont="1" applyNumberFormat="1">
      <alignment horizontal="right" vertical="bottom"/>
    </xf>
    <xf borderId="25" fillId="19" fontId="16" numFmtId="2" xfId="0" applyAlignment="1" applyBorder="1" applyFont="1" applyNumberFormat="1">
      <alignment horizontal="right" vertical="bottom"/>
    </xf>
    <xf borderId="25" fillId="0" fontId="16" numFmtId="0" xfId="0" applyAlignment="1" applyBorder="1" applyFont="1">
      <alignment horizontal="right" vertical="bottom"/>
    </xf>
    <xf borderId="3" fillId="0" fontId="16" numFmtId="1" xfId="0" applyAlignment="1" applyBorder="1" applyFont="1" applyNumberFormat="1">
      <alignment vertical="bottom"/>
    </xf>
    <xf borderId="25" fillId="0" fontId="1" numFmtId="1" xfId="0" applyAlignment="1" applyBorder="1" applyFont="1" applyNumberFormat="1">
      <alignment vertical="bottom"/>
    </xf>
    <xf borderId="3" fillId="0" fontId="19" numFmtId="0" xfId="0" applyAlignment="1" applyBorder="1" applyFont="1">
      <alignment vertical="bottom"/>
    </xf>
    <xf borderId="25" fillId="6" fontId="19" numFmtId="1" xfId="0" applyAlignment="1" applyBorder="1" applyFont="1" applyNumberFormat="1">
      <alignment horizontal="right" vertical="bottom"/>
    </xf>
    <xf borderId="25" fillId="7" fontId="20" numFmtId="1" xfId="0" applyAlignment="1" applyBorder="1" applyFont="1" applyNumberFormat="1">
      <alignment vertical="bottom"/>
    </xf>
    <xf borderId="25" fillId="6" fontId="1" numFmtId="0" xfId="0" applyAlignment="1" applyBorder="1" applyFont="1">
      <alignment vertical="bottom"/>
    </xf>
    <xf borderId="25" fillId="19" fontId="19" numFmtId="1" xfId="0" applyAlignment="1" applyBorder="1" applyFont="1" applyNumberFormat="1">
      <alignment horizontal="right" vertical="bottom"/>
    </xf>
    <xf borderId="0" fillId="0" fontId="20" numFmtId="1" xfId="0" applyAlignment="1" applyFont="1" applyNumberFormat="1">
      <alignment vertical="bottom"/>
    </xf>
    <xf borderId="25" fillId="19" fontId="1" numFmtId="1" xfId="0" applyAlignment="1" applyBorder="1" applyFont="1" applyNumberFormat="1">
      <alignment readingOrder="0" vertical="bottom"/>
    </xf>
    <xf borderId="3" fillId="0" fontId="16" numFmtId="3" xfId="0" applyAlignment="1" applyBorder="1" applyFont="1" applyNumberFormat="1">
      <alignment vertical="bottom"/>
    </xf>
    <xf borderId="3" fillId="20" fontId="17" numFmtId="0" xfId="0" applyAlignment="1" applyBorder="1" applyFill="1" applyFont="1">
      <alignment vertical="bottom"/>
    </xf>
    <xf borderId="25" fillId="20" fontId="17" numFmtId="1" xfId="0" applyAlignment="1" applyBorder="1" applyFont="1" applyNumberFormat="1">
      <alignment horizontal="right" vertical="bottom"/>
    </xf>
    <xf borderId="25" fillId="18" fontId="1" numFmtId="3" xfId="0" applyAlignment="1" applyBorder="1" applyFont="1" applyNumberFormat="1">
      <alignment vertical="bottom"/>
    </xf>
    <xf borderId="25" fillId="20" fontId="1" numFmtId="3" xfId="0" applyAlignment="1" applyBorder="1" applyFont="1" applyNumberFormat="1">
      <alignment vertical="bottom"/>
    </xf>
    <xf borderId="25" fillId="19" fontId="17" numFmtId="1" xfId="0" applyAlignment="1" applyBorder="1" applyFont="1" applyNumberFormat="1">
      <alignment horizontal="right" vertical="bottom"/>
    </xf>
    <xf borderId="25" fillId="20" fontId="17" numFmtId="3" xfId="0" applyAlignment="1" applyBorder="1" applyFont="1" applyNumberFormat="1">
      <alignment vertical="bottom"/>
    </xf>
    <xf borderId="0" fillId="0" fontId="17" numFmtId="3" xfId="0" applyAlignment="1" applyFont="1" applyNumberFormat="1">
      <alignment vertical="bottom"/>
    </xf>
    <xf borderId="3" fillId="0" fontId="1" numFmtId="0" xfId="0" applyAlignment="1" applyBorder="1" applyFont="1">
      <alignment vertical="bottom"/>
    </xf>
    <xf borderId="25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3" fillId="0" fontId="1" numFmtId="1" xfId="0" applyAlignment="1" applyBorder="1" applyFont="1" applyNumberFormat="1">
      <alignment vertical="bottom"/>
    </xf>
    <xf borderId="25" fillId="0" fontId="16" numFmtId="1" xfId="0" applyAlignment="1" applyBorder="1" applyFont="1" applyNumberFormat="1">
      <alignment vertical="bottom"/>
    </xf>
    <xf borderId="0" fillId="0" fontId="16" numFmtId="1" xfId="0" applyAlignment="1" applyFont="1" applyNumberFormat="1">
      <alignment horizontal="right" vertical="bottom"/>
    </xf>
    <xf borderId="3" fillId="0" fontId="19" numFmtId="3" xfId="0" applyAlignment="1" applyBorder="1" applyFont="1" applyNumberFormat="1">
      <alignment vertical="bottom"/>
    </xf>
    <xf borderId="25" fillId="20" fontId="1" numFmtId="0" xfId="0" applyAlignment="1" applyBorder="1" applyFont="1">
      <alignment vertical="bottom"/>
    </xf>
    <xf borderId="3" fillId="0" fontId="1" numFmtId="3" xfId="0" applyAlignment="1" applyBorder="1" applyFont="1" applyNumberFormat="1">
      <alignment vertical="bottom"/>
    </xf>
    <xf borderId="25" fillId="20" fontId="1" numFmtId="1" xfId="0" applyAlignment="1" applyBorder="1" applyFont="1" applyNumberFormat="1">
      <alignment vertical="bottom"/>
    </xf>
    <xf borderId="25" fillId="20" fontId="17" numFmtId="0" xfId="0" applyAlignment="1" applyBorder="1" applyFont="1">
      <alignment horizontal="right" vertical="bottom"/>
    </xf>
    <xf borderId="3" fillId="14" fontId="16" numFmtId="0" xfId="0" applyAlignment="1" applyBorder="1" applyFont="1">
      <alignment vertical="bottom"/>
    </xf>
    <xf borderId="25" fillId="14" fontId="16" numFmtId="1" xfId="0" applyAlignment="1" applyBorder="1" applyFont="1" applyNumberFormat="1">
      <alignment horizontal="right" vertical="bottom"/>
    </xf>
    <xf borderId="25" fillId="14" fontId="16" numFmtId="3" xfId="0" applyAlignment="1" applyBorder="1" applyFont="1" applyNumberFormat="1">
      <alignment vertical="bottom"/>
    </xf>
    <xf borderId="25" fillId="14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27" fillId="0" fontId="1" numFmtId="1" xfId="0" applyAlignment="1" applyBorder="1" applyFont="1" applyNumberFormat="1">
      <alignment vertical="bottom"/>
    </xf>
    <xf borderId="27" fillId="18" fontId="1" numFmtId="0" xfId="0" applyAlignment="1" applyBorder="1" applyFont="1">
      <alignment vertical="bottom"/>
    </xf>
    <xf borderId="27" fillId="19" fontId="1" numFmtId="1" xfId="0" applyAlignment="1" applyBorder="1" applyFont="1" applyNumberFormat="1">
      <alignment vertical="bottom"/>
    </xf>
    <xf borderId="4" fillId="0" fontId="1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4" fillId="21" fontId="17" numFmtId="0" xfId="0" applyAlignment="1" applyBorder="1" applyFill="1" applyFont="1">
      <alignment horizontal="right"/>
    </xf>
    <xf borderId="27" fillId="21" fontId="17" numFmtId="1" xfId="0" applyAlignment="1" applyBorder="1" applyFont="1" applyNumberFormat="1">
      <alignment horizontal="right"/>
    </xf>
    <xf borderId="27" fillId="18" fontId="17" numFmtId="3" xfId="0" applyAlignment="1" applyBorder="1" applyFont="1" applyNumberFormat="1">
      <alignment horizontal="right"/>
    </xf>
    <xf borderId="27" fillId="21" fontId="17" numFmtId="3" xfId="0" applyAlignment="1" applyBorder="1" applyFont="1" applyNumberFormat="1">
      <alignment horizontal="right"/>
    </xf>
    <xf borderId="27" fillId="21" fontId="21" numFmtId="3" xfId="0" applyAlignment="1" applyBorder="1" applyFont="1" applyNumberFormat="1">
      <alignment horizontal="right"/>
    </xf>
    <xf borderId="0" fillId="0" fontId="21" numFmtId="3" xfId="0" applyAlignment="1" applyFont="1" applyNumberFormat="1">
      <alignment horizontal="right"/>
    </xf>
    <xf borderId="4" fillId="21" fontId="17" numFmtId="0" xfId="0" applyAlignment="1" applyBorder="1" applyFont="1">
      <alignment vertical="bottom"/>
    </xf>
    <xf borderId="27" fillId="21" fontId="17" numFmtId="3" xfId="0" applyAlignment="1" applyBorder="1" applyFont="1" applyNumberFormat="1">
      <alignment horizontal="right" vertical="bottom"/>
    </xf>
    <xf borderId="0" fillId="4" fontId="22" numFmtId="0" xfId="0" applyAlignment="1" applyFont="1">
      <alignment horizontal="center" vertical="bottom"/>
    </xf>
    <xf borderId="26" fillId="6" fontId="15" numFmtId="0" xfId="0" applyAlignment="1" applyBorder="1" applyFont="1">
      <alignment horizontal="center" readingOrder="0" vertical="bottom"/>
    </xf>
    <xf borderId="26" fillId="0" fontId="5" numFmtId="0" xfId="0" applyBorder="1" applyFont="1"/>
    <xf borderId="27" fillId="0" fontId="5" numFmtId="0" xfId="0" applyBorder="1" applyFont="1"/>
    <xf borderId="26" fillId="7" fontId="1" numFmtId="0" xfId="0" applyAlignment="1" applyBorder="1" applyFont="1">
      <alignment vertical="bottom"/>
    </xf>
    <xf borderId="27" fillId="0" fontId="9" numFmtId="0" xfId="0" applyAlignment="1" applyBorder="1" applyFont="1">
      <alignment horizontal="center" vertical="bottom"/>
    </xf>
    <xf borderId="25" fillId="6" fontId="15" numFmtId="0" xfId="0" applyAlignment="1" applyBorder="1" applyFont="1">
      <alignment horizontal="center" vertical="bottom"/>
    </xf>
    <xf borderId="25" fillId="14" fontId="16" numFmtId="0" xfId="0" applyAlignment="1" applyBorder="1" applyFont="1">
      <alignment horizontal="center" vertical="bottom"/>
    </xf>
    <xf borderId="29" fillId="17" fontId="16" numFmtId="0" xfId="0" applyAlignment="1" applyBorder="1" applyFont="1">
      <alignment vertical="bottom"/>
    </xf>
    <xf borderId="25" fillId="17" fontId="16" numFmtId="0" xfId="0" applyAlignment="1" applyBorder="1" applyFont="1">
      <alignment vertical="bottom"/>
    </xf>
    <xf borderId="29" fillId="0" fontId="16" numFmtId="0" xfId="0" applyAlignment="1" applyBorder="1" applyFont="1">
      <alignment vertical="bottom"/>
    </xf>
    <xf borderId="25" fillId="0" fontId="19" numFmtId="0" xfId="0" applyAlignment="1" applyBorder="1" applyFont="1">
      <alignment vertical="bottom"/>
    </xf>
    <xf borderId="25" fillId="20" fontId="17" numFmtId="0" xfId="0" applyAlignment="1" applyBorder="1" applyFont="1">
      <alignment vertical="bottom"/>
    </xf>
    <xf borderId="29" fillId="0" fontId="1" numFmtId="0" xfId="0" applyAlignment="1" applyBorder="1" applyFont="1">
      <alignment vertical="bottom"/>
    </xf>
    <xf borderId="29" fillId="20" fontId="17" numFmtId="0" xfId="0" applyAlignment="1" applyBorder="1" applyFont="1">
      <alignment vertical="bottom"/>
    </xf>
    <xf borderId="29" fillId="14" fontId="16" numFmtId="0" xfId="0" applyAlignment="1" applyBorder="1" applyFont="1">
      <alignment vertical="bottom"/>
    </xf>
    <xf borderId="25" fillId="14" fontId="16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27" fillId="21" fontId="17" numFmtId="0" xfId="0" applyAlignment="1" applyBorder="1" applyFont="1">
      <alignment horizontal="right"/>
    </xf>
    <xf borderId="0" fillId="0" fontId="1" numFmtId="3" xfId="0" applyAlignment="1" applyFont="1" applyNumberFormat="1">
      <alignment vertical="bottom"/>
    </xf>
    <xf borderId="26" fillId="6" fontId="15" numFmtId="0" xfId="0" applyAlignment="1" applyBorder="1" applyFont="1">
      <alignment horizontal="center" vertical="bottom"/>
    </xf>
    <xf borderId="5" fillId="6" fontId="15" numFmtId="0" xfId="0" applyAlignment="1" applyBorder="1" applyFont="1">
      <alignment horizontal="center" vertical="bottom"/>
    </xf>
    <xf borderId="1" fillId="15" fontId="16" numFmtId="0" xfId="0" applyAlignment="1" applyBorder="1" applyFont="1">
      <alignment horizontal="center" vertical="bottom"/>
    </xf>
    <xf borderId="0" fillId="15" fontId="16" numFmtId="0" xfId="0" applyAlignment="1" applyFont="1">
      <alignment horizontal="center" vertical="bottom"/>
    </xf>
    <xf borderId="1" fillId="0" fontId="9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3" fillId="17" fontId="1" numFmtId="0" xfId="0" applyAlignment="1" applyBorder="1" applyFont="1">
      <alignment vertical="bottom"/>
    </xf>
    <xf borderId="3" fillId="0" fontId="16" numFmtId="1" xfId="0" applyAlignment="1" applyBorder="1" applyFont="1" applyNumberFormat="1">
      <alignment horizontal="right" vertical="bottom"/>
    </xf>
    <xf borderId="3" fillId="0" fontId="16" numFmtId="2" xfId="0" applyAlignment="1" applyBorder="1" applyFont="1" applyNumberFormat="1">
      <alignment horizontal="right" vertical="bottom"/>
    </xf>
    <xf borderId="3" fillId="6" fontId="19" numFmtId="1" xfId="0" applyAlignment="1" applyBorder="1" applyFont="1" applyNumberFormat="1">
      <alignment horizontal="right" vertical="bottom"/>
    </xf>
    <xf borderId="3" fillId="0" fontId="16" numFmtId="1" xfId="0" applyAlignment="1" applyBorder="1" applyFont="1" applyNumberFormat="1">
      <alignment horizontal="right" readingOrder="0" vertical="bottom"/>
    </xf>
    <xf borderId="3" fillId="20" fontId="17" numFmtId="1" xfId="0" applyAlignment="1" applyBorder="1" applyFont="1" applyNumberFormat="1">
      <alignment horizontal="right" vertical="bottom"/>
    </xf>
    <xf borderId="3" fillId="20" fontId="1" numFmtId="1" xfId="0" applyAlignment="1" applyBorder="1" applyFont="1" applyNumberFormat="1">
      <alignment vertical="bottom"/>
    </xf>
    <xf borderId="3" fillId="14" fontId="16" numFmtId="1" xfId="0" applyAlignment="1" applyBorder="1" applyFont="1" applyNumberFormat="1">
      <alignment horizontal="right" vertical="bottom"/>
    </xf>
    <xf borderId="4" fillId="0" fontId="1" numFmtId="1" xfId="0" applyAlignment="1" applyBorder="1" applyFont="1" applyNumberFormat="1">
      <alignment vertical="bottom"/>
    </xf>
    <xf borderId="4" fillId="21" fontId="17" numFmtId="1" xfId="0" applyAlignment="1" applyBorder="1" applyFont="1" applyNumberFormat="1">
      <alignment horizontal="right"/>
    </xf>
    <xf borderId="5" fillId="3" fontId="15" numFmtId="0" xfId="0" applyAlignment="1" applyBorder="1" applyFont="1">
      <alignment horizontal="center" vertical="bottom"/>
    </xf>
    <xf borderId="5" fillId="6" fontId="15" numFmtId="0" xfId="0" applyAlignment="1" applyBorder="1" applyFont="1">
      <alignment horizontal="center" readingOrder="0" vertical="bottom"/>
    </xf>
    <xf borderId="7" fillId="7" fontId="17" numFmtId="0" xfId="0" applyAlignment="1" applyBorder="1" applyFont="1">
      <alignment horizontal="center" vertical="bottom"/>
    </xf>
    <xf borderId="25" fillId="0" fontId="16" numFmtId="3" xfId="0" applyAlignment="1" applyBorder="1" applyFont="1" applyNumberFormat="1">
      <alignment readingOrder="0" vertical="bottom"/>
    </xf>
    <xf borderId="25" fillId="5" fontId="19" numFmtId="1" xfId="0" applyAlignment="1" applyBorder="1" applyFont="1" applyNumberFormat="1">
      <alignment horizontal="right" vertical="bottom"/>
    </xf>
    <xf borderId="25" fillId="20" fontId="17" numFmtId="1" xfId="0" applyAlignment="1" applyBorder="1" applyFont="1" applyNumberFormat="1">
      <alignment horizontal="right" readingOrder="0" vertical="bottom"/>
    </xf>
    <xf borderId="0" fillId="0" fontId="23" numFmtId="0" xfId="0" applyAlignment="1" applyFont="1">
      <alignment horizontal="center" readingOrder="0"/>
    </xf>
    <xf borderId="30" fillId="22" fontId="8" numFmtId="0" xfId="0" applyAlignment="1" applyBorder="1" applyFill="1" applyFont="1">
      <alignment horizontal="center" readingOrder="0" vertical="center"/>
    </xf>
    <xf borderId="31" fillId="0" fontId="5" numFmtId="0" xfId="0" applyBorder="1" applyFont="1"/>
    <xf borderId="32" fillId="0" fontId="5" numFmtId="0" xfId="0" applyBorder="1" applyFont="1"/>
    <xf borderId="30" fillId="0" fontId="8" numFmtId="0" xfId="0" applyAlignment="1" applyBorder="1" applyFont="1">
      <alignment horizontal="center" readingOrder="0"/>
    </xf>
    <xf borderId="30" fillId="6" fontId="8" numFmtId="0" xfId="0" applyAlignment="1" applyBorder="1" applyFont="1">
      <alignment horizontal="center" readingOrder="0"/>
    </xf>
    <xf borderId="13" fillId="2" fontId="8" numFmtId="0" xfId="0" applyAlignment="1" applyBorder="1" applyFont="1">
      <alignment horizontal="center" readingOrder="0" vertical="center"/>
    </xf>
    <xf borderId="14" fillId="0" fontId="5" numFmtId="0" xfId="0" applyBorder="1" applyFont="1"/>
    <xf borderId="13" fillId="6" fontId="8" numFmtId="0" xfId="0" applyAlignment="1" applyBorder="1" applyFont="1">
      <alignment horizontal="center" readingOrder="0" vertical="center"/>
    </xf>
    <xf borderId="13" fillId="3" fontId="8" numFmtId="0" xfId="0" applyAlignment="1" applyBorder="1" applyFont="1">
      <alignment horizontal="center" readingOrder="0" vertical="center"/>
    </xf>
    <xf borderId="13" fillId="0" fontId="1" numFmtId="0" xfId="0" applyAlignment="1" applyBorder="1" applyFont="1">
      <alignment horizontal="center" readingOrder="0"/>
    </xf>
    <xf borderId="33" fillId="0" fontId="1" numFmtId="0" xfId="0" applyBorder="1" applyFont="1"/>
    <xf borderId="34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/>
    </xf>
    <xf borderId="35" fillId="0" fontId="5" numFmtId="0" xfId="0" applyBorder="1" applyFont="1"/>
    <xf borderId="36" fillId="0" fontId="5" numFmtId="0" xfId="0" applyBorder="1" applyFont="1"/>
    <xf borderId="37" fillId="0" fontId="1" numFmtId="0" xfId="0" applyAlignment="1" applyBorder="1" applyFont="1">
      <alignment horizontal="left" readingOrder="0"/>
    </xf>
    <xf borderId="12" fillId="0" fontId="1" numFmtId="2" xfId="0" applyAlignment="1" applyBorder="1" applyFont="1" applyNumberFormat="1">
      <alignment horizontal="center" readingOrder="0"/>
    </xf>
    <xf borderId="11" fillId="0" fontId="1" numFmtId="0" xfId="0" applyAlignment="1" applyBorder="1" applyFont="1">
      <alignment horizontal="left" readingOrder="0"/>
    </xf>
    <xf borderId="38" fillId="0" fontId="5" numFmtId="0" xfId="0" applyBorder="1" applyFont="1"/>
    <xf borderId="11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38" fillId="0" fontId="1" numFmtId="0" xfId="0" applyAlignment="1" applyBorder="1" applyFont="1">
      <alignment readingOrder="0"/>
    </xf>
    <xf borderId="12" fillId="23" fontId="24" numFmtId="0" xfId="0" applyAlignment="1" applyBorder="1" applyFill="1" applyFont="1">
      <alignment readingOrder="0"/>
    </xf>
    <xf borderId="11" fillId="0" fontId="1" numFmtId="4" xfId="0" applyAlignment="1" applyBorder="1" applyFont="1" applyNumberFormat="1">
      <alignment readingOrder="0"/>
    </xf>
    <xf borderId="12" fillId="6" fontId="2" numFmtId="4" xfId="0" applyAlignment="1" applyBorder="1" applyFont="1" applyNumberFormat="1">
      <alignment readingOrder="0"/>
    </xf>
    <xf borderId="11" fillId="0" fontId="1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1" fillId="0" fontId="1" numFmtId="4" xfId="0" applyBorder="1" applyFont="1" applyNumberFormat="1"/>
    <xf borderId="12" fillId="0" fontId="2" numFmtId="4" xfId="0" applyAlignment="1" applyBorder="1" applyFont="1" applyNumberFormat="1">
      <alignment readingOrder="0"/>
    </xf>
    <xf borderId="12" fillId="4" fontId="24" numFmtId="4" xfId="0" applyAlignment="1" applyBorder="1" applyFont="1" applyNumberFormat="1">
      <alignment readingOrder="0"/>
    </xf>
    <xf borderId="12" fillId="4" fontId="24" numFmtId="3" xfId="0" applyBorder="1" applyFont="1" applyNumberFormat="1"/>
    <xf borderId="12" fillId="0" fontId="1" numFmtId="0" xfId="0" applyAlignment="1" applyBorder="1" applyFont="1">
      <alignment readingOrder="0"/>
    </xf>
    <xf borderId="12" fillId="0" fontId="1" numFmtId="4" xfId="0" applyBorder="1" applyFont="1" applyNumberFormat="1"/>
    <xf borderId="12" fillId="6" fontId="2" numFmtId="3" xfId="0" applyBorder="1" applyFont="1" applyNumberFormat="1"/>
    <xf borderId="12" fillId="0" fontId="1" numFmtId="4" xfId="0" applyAlignment="1" applyBorder="1" applyFont="1" applyNumberFormat="1">
      <alignment readingOrder="0"/>
    </xf>
    <xf borderId="12" fillId="3" fontId="1" numFmtId="4" xfId="0" applyAlignment="1" applyBorder="1" applyFont="1" applyNumberFormat="1">
      <alignment readingOrder="0"/>
    </xf>
    <xf borderId="39" fillId="24" fontId="4" numFmtId="0" xfId="0" applyBorder="1" applyFill="1" applyFont="1"/>
    <xf borderId="40" fillId="24" fontId="24" numFmtId="0" xfId="0" applyAlignment="1" applyBorder="1" applyFont="1">
      <alignment horizontal="center" readingOrder="0"/>
    </xf>
    <xf borderId="41" fillId="24" fontId="4" numFmtId="4" xfId="0" applyBorder="1" applyFont="1" applyNumberFormat="1"/>
    <xf borderId="42" fillId="24" fontId="24" numFmtId="4" xfId="0" applyBorder="1" applyFont="1" applyNumberFormat="1"/>
    <xf borderId="43" fillId="7" fontId="1" numFmtId="0" xfId="0" applyAlignment="1" applyBorder="1" applyFont="1">
      <alignment readingOrder="0"/>
    </xf>
    <xf borderId="14" fillId="7" fontId="2" numFmtId="0" xfId="0" applyAlignment="1" applyBorder="1" applyFont="1">
      <alignment readingOrder="0"/>
    </xf>
    <xf borderId="35" fillId="7" fontId="2" numFmtId="4" xfId="0" applyBorder="1" applyFont="1" applyNumberFormat="1"/>
    <xf borderId="36" fillId="7" fontId="2" numFmtId="4" xfId="0" applyAlignment="1" applyBorder="1" applyFont="1" applyNumberFormat="1">
      <alignment readingOrder="0"/>
    </xf>
    <xf borderId="30" fillId="2" fontId="10" numFmtId="0" xfId="0" applyAlignment="1" applyBorder="1" applyFont="1">
      <alignment horizontal="center" readingOrder="0"/>
    </xf>
    <xf borderId="17" fillId="0" fontId="2" numFmtId="0" xfId="0" applyAlignment="1" applyBorder="1" applyFont="1">
      <alignment readingOrder="0"/>
    </xf>
    <xf borderId="12" fillId="25" fontId="2" numFmtId="0" xfId="0" applyAlignment="1" applyBorder="1" applyFill="1" applyFont="1">
      <alignment readingOrder="0"/>
    </xf>
    <xf borderId="11" fillId="0" fontId="2" numFmtId="4" xfId="0" applyBorder="1" applyFont="1" applyNumberFormat="1"/>
    <xf borderId="15" fillId="0" fontId="1" numFmtId="0" xfId="0" applyBorder="1" applyFont="1"/>
    <xf borderId="44" fillId="0" fontId="1" numFmtId="4" xfId="0" applyBorder="1" applyFont="1" applyNumberFormat="1"/>
    <xf borderId="15" fillId="0" fontId="1" numFmtId="4" xfId="0" applyBorder="1" applyFont="1" applyNumberFormat="1"/>
    <xf borderId="20" fillId="0" fontId="1" numFmtId="4" xfId="0" applyBorder="1" applyFont="1" applyNumberFormat="1"/>
    <xf borderId="22" fillId="0" fontId="1" numFmtId="4" xfId="0" applyBorder="1" applyFont="1" applyNumberFormat="1"/>
    <xf borderId="39" fillId="0" fontId="1" numFmtId="0" xfId="0" applyBorder="1" applyFont="1"/>
    <xf borderId="40" fillId="26" fontId="2" numFmtId="0" xfId="0" applyAlignment="1" applyBorder="1" applyFill="1" applyFont="1">
      <alignment horizontal="center" readingOrder="0"/>
    </xf>
    <xf borderId="41" fillId="26" fontId="1" numFmtId="4" xfId="0" applyBorder="1" applyFont="1" applyNumberFormat="1"/>
    <xf borderId="42" fillId="26" fontId="2" numFmtId="4" xfId="0" applyBorder="1" applyFont="1" applyNumberFormat="1"/>
    <xf borderId="0" fillId="4" fontId="24" numFmtId="0" xfId="0" applyAlignment="1" applyFont="1">
      <alignment readingOrder="0"/>
    </xf>
    <xf borderId="40" fillId="13" fontId="4" numFmtId="3" xfId="0" applyAlignment="1" applyBorder="1" applyFont="1" applyNumberFormat="1">
      <alignment readingOrder="0"/>
    </xf>
    <xf borderId="40" fillId="2" fontId="1" numFmtId="3" xfId="0" applyBorder="1" applyFont="1" applyNumberFormat="1"/>
    <xf borderId="30" fillId="6" fontId="10" numFmtId="0" xfId="0" applyAlignment="1" applyBorder="1" applyFont="1">
      <alignment horizontal="center" readingOrder="0"/>
    </xf>
    <xf borderId="31" fillId="6" fontId="10" numFmtId="0" xfId="0" applyAlignment="1" applyBorder="1" applyFont="1">
      <alignment horizontal="center" readingOrder="0"/>
    </xf>
    <xf borderId="32" fillId="6" fontId="10" numFmtId="0" xfId="0" applyAlignment="1" applyBorder="1" applyFont="1">
      <alignment horizontal="center" readingOrder="0"/>
    </xf>
    <xf borderId="40" fillId="7" fontId="24" numFmtId="0" xfId="0" applyAlignment="1" applyBorder="1" applyFont="1">
      <alignment horizontal="center" readingOrder="0"/>
    </xf>
    <xf borderId="41" fillId="7" fontId="4" numFmtId="4" xfId="0" applyBorder="1" applyFont="1" applyNumberFormat="1"/>
    <xf borderId="42" fillId="7" fontId="24" numFmtId="4" xfId="0" applyBorder="1" applyFont="1" applyNumberFormat="1"/>
    <xf borderId="30" fillId="2" fontId="8" numFmtId="0" xfId="0" applyAlignment="1" applyBorder="1" applyFont="1">
      <alignment horizontal="center" readingOrder="0" vertical="center"/>
    </xf>
    <xf borderId="30" fillId="3" fontId="8" numFmtId="0" xfId="0" applyAlignment="1" applyBorder="1" applyFont="1">
      <alignment horizontal="center" readingOrder="0"/>
    </xf>
    <xf borderId="11" fillId="6" fontId="1" numFmtId="4" xfId="0" applyAlignment="1" applyBorder="1" applyFont="1" applyNumberFormat="1">
      <alignment horizontal="center" readingOrder="0"/>
    </xf>
    <xf borderId="12" fillId="6" fontId="1" numFmtId="4" xfId="0" applyAlignment="1" applyBorder="1" applyFont="1" applyNumberFormat="1">
      <alignment horizontal="center" readingOrder="0"/>
    </xf>
    <xf borderId="12" fillId="6" fontId="1" numFmtId="3" xfId="0" applyAlignment="1" applyBorder="1" applyFont="1" applyNumberFormat="1">
      <alignment horizontal="center" readingOrder="0"/>
    </xf>
    <xf borderId="12" fillId="9" fontId="1" numFmtId="4" xfId="0" applyAlignment="1" applyBorder="1" applyFont="1" applyNumberFormat="1">
      <alignment readingOrder="0"/>
    </xf>
    <xf borderId="12" fillId="0" fontId="7" numFmtId="4" xfId="0" applyAlignment="1" applyBorder="1" applyFont="1" applyNumberFormat="1">
      <alignment readingOrder="0"/>
    </xf>
    <xf borderId="12" fillId="0" fontId="25" numFmtId="4" xfId="0" applyAlignment="1" applyBorder="1" applyFont="1" applyNumberFormat="1">
      <alignment readingOrder="0"/>
    </xf>
    <xf borderId="0" fillId="0" fontId="10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13" fontId="28" numFmtId="0" xfId="0" applyAlignment="1" applyFont="1">
      <alignment horizontal="center" readingOrder="0"/>
    </xf>
    <xf borderId="0" fillId="27" fontId="27" numFmtId="0" xfId="0" applyAlignment="1" applyFill="1" applyFont="1">
      <alignment horizontal="right" readingOrder="0"/>
    </xf>
    <xf borderId="0" fillId="0" fontId="27" numFmtId="0" xfId="0" applyAlignment="1" applyFon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0" xfId="0" applyAlignment="1" applyFont="1">
      <alignment horizontal="center" readingOrder="0"/>
    </xf>
    <xf borderId="0" fillId="0" fontId="29" numFmtId="0" xfId="0" applyAlignment="1" applyFont="1">
      <alignment horizontal="left" readingOrder="0" shrinkToFit="0" vertical="top" wrapText="0"/>
    </xf>
    <xf borderId="0" fillId="0" fontId="1" numFmtId="3" xfId="0" applyAlignment="1" applyFont="1" applyNumberFormat="1">
      <alignment horizontal="right"/>
    </xf>
    <xf borderId="0" fillId="0" fontId="2" numFmtId="3" xfId="0" applyAlignment="1" applyFont="1" applyNumberFormat="1">
      <alignment horizontal="right"/>
    </xf>
    <xf borderId="0" fillId="0" fontId="1" numFmtId="0" xfId="0" applyAlignment="1" applyFon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0" fontId="1" numFmtId="0" xfId="0" applyAlignment="1" applyFont="1">
      <alignment vertical="top"/>
    </xf>
    <xf borderId="5" fillId="13" fontId="30" numFmtId="0" xfId="0" applyAlignment="1" applyBorder="1" applyFont="1">
      <alignment readingOrder="0" vertical="top"/>
    </xf>
    <xf borderId="6" fillId="13" fontId="30" numFmtId="0" xfId="0" applyAlignment="1" applyBorder="1" applyFont="1">
      <alignment vertical="top"/>
    </xf>
    <xf borderId="7" fillId="13" fontId="30" numFmtId="0" xfId="0" applyAlignment="1" applyBorder="1" applyFont="1">
      <alignment horizontal="center" vertical="top"/>
    </xf>
    <xf borderId="1" fillId="13" fontId="30" numFmtId="0" xfId="0" applyAlignment="1" applyBorder="1" applyFont="1">
      <alignment horizontal="center" readingOrder="0" vertical="top"/>
    </xf>
    <xf borderId="1" fillId="13" fontId="30" numFmtId="0" xfId="0" applyAlignment="1" applyBorder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vertical="top"/>
    </xf>
    <xf borderId="29" fillId="22" fontId="26" numFmtId="0" xfId="0" applyAlignment="1" applyBorder="1" applyFont="1">
      <alignment readingOrder="0" vertical="center"/>
    </xf>
    <xf borderId="0" fillId="22" fontId="1" numFmtId="0" xfId="0" applyAlignment="1" applyFont="1">
      <alignment vertical="center"/>
    </xf>
    <xf borderId="25" fillId="22" fontId="1" numFmtId="0" xfId="0" applyAlignment="1" applyBorder="1" applyFont="1">
      <alignment horizontal="center" vertical="center"/>
    </xf>
    <xf borderId="3" fillId="28" fontId="1" numFmtId="0" xfId="0" applyAlignment="1" applyBorder="1" applyFill="1" applyFont="1">
      <alignment horizontal="center" vertical="center"/>
    </xf>
    <xf borderId="29" fillId="0" fontId="1" numFmtId="0" xfId="0" applyAlignment="1" applyBorder="1" applyFont="1">
      <alignment readingOrder="0" vertical="center"/>
    </xf>
    <xf borderId="0" fillId="0" fontId="1" numFmtId="0" xfId="0" applyAlignment="1" applyFont="1">
      <alignment vertical="center"/>
    </xf>
    <xf borderId="25" fillId="0" fontId="1" numFmtId="0" xfId="0" applyAlignment="1" applyBorder="1" applyFont="1">
      <alignment horizontal="center" vertical="center"/>
    </xf>
    <xf borderId="0" fillId="28" fontId="1" numFmtId="3" xfId="0" applyAlignment="1" applyFont="1" applyNumberFormat="1">
      <alignment horizontal="center" readingOrder="0" vertical="center"/>
    </xf>
    <xf borderId="3" fillId="28" fontId="1" numFmtId="0" xfId="0" applyAlignment="1" applyBorder="1" applyFont="1">
      <alignment horizontal="center" readingOrder="0" shrinkToFit="0" vertical="center" wrapText="1"/>
    </xf>
    <xf borderId="29" fillId="0" fontId="29" numFmtId="0" xfId="0" applyAlignment="1" applyBorder="1" applyFont="1">
      <alignment horizontal="left" readingOrder="0" shrinkToFit="0" vertical="center" wrapText="0"/>
    </xf>
    <xf borderId="0" fillId="28" fontId="1" numFmtId="3" xfId="0" applyAlignment="1" applyFont="1" applyNumberFormat="1">
      <alignment horizontal="center" vertical="center"/>
    </xf>
    <xf borderId="3" fillId="28" fontId="1" numFmtId="0" xfId="0" applyAlignment="1" applyBorder="1" applyFont="1">
      <alignment horizontal="center" readingOrder="0" vertical="center"/>
    </xf>
    <xf borderId="29" fillId="0" fontId="31" numFmtId="0" xfId="0" applyAlignment="1" applyBorder="1" applyFont="1">
      <alignment readingOrder="0" vertical="center"/>
    </xf>
    <xf borderId="18" fillId="0" fontId="1" numFmtId="0" xfId="0" applyAlignment="1" applyBorder="1" applyFont="1">
      <alignment readingOrder="0" vertical="center"/>
    </xf>
    <xf borderId="26" fillId="0" fontId="1" numFmtId="0" xfId="0" applyAlignment="1" applyBorder="1" applyFont="1">
      <alignment vertical="center"/>
    </xf>
    <xf borderId="27" fillId="0" fontId="1" numFmtId="0" xfId="0" applyAlignment="1" applyBorder="1" applyFont="1">
      <alignment horizontal="center" vertical="center"/>
    </xf>
    <xf borderId="4" fillId="28" fontId="1" numFmtId="0" xfId="0" applyAlignment="1" applyBorder="1" applyFont="1">
      <alignment horizontal="center" vertical="center"/>
    </xf>
    <xf borderId="29" fillId="12" fontId="26" numFmtId="0" xfId="0" applyAlignment="1" applyBorder="1" applyFont="1">
      <alignment readingOrder="0" vertical="center"/>
    </xf>
    <xf borderId="0" fillId="12" fontId="1" numFmtId="0" xfId="0" applyAlignment="1" applyFont="1">
      <alignment vertical="center"/>
    </xf>
    <xf borderId="25" fillId="12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29" fillId="9" fontId="2" numFmtId="0" xfId="0" applyAlignment="1" applyBorder="1" applyFont="1">
      <alignment readingOrder="0" vertical="center"/>
    </xf>
    <xf borderId="0" fillId="9" fontId="1" numFmtId="0" xfId="0" applyAlignment="1" applyFont="1">
      <alignment vertical="center"/>
    </xf>
    <xf borderId="25" fillId="9" fontId="1" numFmtId="0" xfId="0" applyAlignment="1" applyBorder="1" applyFont="1">
      <alignment horizontal="center" vertical="center"/>
    </xf>
    <xf borderId="0" fillId="0" fontId="1" numFmtId="3" xfId="0" applyAlignment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center" wrapText="1"/>
    </xf>
    <xf borderId="18" fillId="0" fontId="29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center" vertical="center"/>
    </xf>
    <xf borderId="0" fillId="0" fontId="32" numFmtId="0" xfId="0" applyAlignment="1" applyFont="1">
      <alignment readingOrder="0" vertical="top"/>
    </xf>
    <xf borderId="0" fillId="0" fontId="32" numFmtId="0" xfId="0" applyAlignment="1" applyFont="1">
      <alignment vertical="top"/>
    </xf>
    <xf borderId="0" fillId="0" fontId="12" numFmtId="0" xfId="0" applyAlignment="1" applyFont="1">
      <alignment horizontal="center" readingOrder="0"/>
    </xf>
    <xf borderId="0" fillId="0" fontId="33" numFmtId="0" xfId="0" applyAlignment="1" applyFont="1">
      <alignment readingOrder="0"/>
    </xf>
    <xf borderId="0" fillId="11" fontId="2" numFmtId="0" xfId="0" applyAlignment="1" applyFont="1">
      <alignment horizontal="center" readingOrder="0"/>
    </xf>
    <xf borderId="0" fillId="29" fontId="27" numFmtId="0" xfId="0" applyAlignment="1" applyFill="1" applyFont="1">
      <alignment horizontal="right" readingOrder="0"/>
    </xf>
    <xf borderId="0" fillId="6" fontId="27" numFmtId="0" xfId="0" applyAlignment="1" applyFont="1">
      <alignment horizontal="right" readingOrder="0" shrinkToFit="0" vertical="top" wrapText="1"/>
    </xf>
    <xf borderId="0" fillId="30" fontId="27" numFmtId="0" xfId="0" applyAlignment="1" applyFill="1" applyFont="1">
      <alignment horizontal="right" readingOrder="0" shrinkToFit="0" vertical="top" wrapText="1"/>
    </xf>
    <xf borderId="0" fillId="0" fontId="33" numFmtId="0" xfId="0" applyAlignment="1" applyFont="1">
      <alignment horizontal="right" readingOrder="0"/>
    </xf>
    <xf borderId="5" fillId="31" fontId="34" numFmtId="0" xfId="0" applyAlignment="1" applyBorder="1" applyFill="1" applyFont="1">
      <alignment readingOrder="0"/>
    </xf>
    <xf borderId="6" fillId="31" fontId="1" numFmtId="0" xfId="0" applyBorder="1" applyFont="1"/>
    <xf borderId="7" fillId="31" fontId="1" numFmtId="0" xfId="0" applyAlignment="1" applyBorder="1" applyFont="1">
      <alignment horizontal="center"/>
    </xf>
    <xf borderId="1" fillId="31" fontId="6" numFmtId="0" xfId="0" applyAlignment="1" applyBorder="1" applyFont="1">
      <alignment horizontal="center" readingOrder="0"/>
    </xf>
    <xf borderId="29" fillId="3" fontId="26" numFmtId="0" xfId="0" applyAlignment="1" applyBorder="1" applyFont="1">
      <alignment readingOrder="0" vertical="center"/>
    </xf>
    <xf borderId="0" fillId="3" fontId="1" numFmtId="0" xfId="0" applyAlignment="1" applyFont="1">
      <alignment vertical="center"/>
    </xf>
    <xf borderId="25" fillId="3" fontId="1" numFmtId="0" xfId="0" applyAlignment="1" applyBorder="1" applyFont="1">
      <alignment horizontal="center" vertical="center"/>
    </xf>
    <xf borderId="29" fillId="3" fontId="2" numFmtId="0" xfId="0" applyAlignment="1" applyBorder="1" applyFont="1">
      <alignment readingOrder="0" vertical="center"/>
    </xf>
    <xf borderId="2" fillId="29" fontId="1" numFmtId="3" xfId="0" applyAlignment="1" applyBorder="1" applyFont="1" applyNumberForma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29" fillId="0" fontId="6" numFmtId="0" xfId="0" applyAlignment="1" applyBorder="1" applyFont="1">
      <alignment readingOrder="0" vertical="center"/>
    </xf>
    <xf borderId="0" fillId="32" fontId="28" numFmtId="0" xfId="0" applyAlignment="1" applyFill="1" applyFont="1">
      <alignment horizontal="center" readingOrder="0"/>
    </xf>
    <xf borderId="5" fillId="32" fontId="30" numFmtId="0" xfId="0" applyAlignment="1" applyBorder="1" applyFont="1">
      <alignment readingOrder="0" vertical="top"/>
    </xf>
    <xf borderId="6" fillId="32" fontId="30" numFmtId="0" xfId="0" applyAlignment="1" applyBorder="1" applyFont="1">
      <alignment vertical="top"/>
    </xf>
    <xf borderId="7" fillId="32" fontId="30" numFmtId="0" xfId="0" applyAlignment="1" applyBorder="1" applyFont="1">
      <alignment horizontal="center" vertical="top"/>
    </xf>
    <xf borderId="1" fillId="32" fontId="30" numFmtId="0" xfId="0" applyAlignment="1" applyBorder="1" applyFont="1">
      <alignment horizontal="center" readingOrder="0" vertical="top"/>
    </xf>
    <xf borderId="1" fillId="32" fontId="30" numFmtId="0" xfId="0" applyAlignment="1" applyBorder="1" applyFont="1">
      <alignment horizontal="center" readingOrder="0" shrinkToFit="0" vertical="top" wrapText="1"/>
    </xf>
    <xf borderId="29" fillId="32" fontId="35" numFmtId="0" xfId="0" applyAlignment="1" applyBorder="1" applyFont="1">
      <alignment readingOrder="0" vertical="center"/>
    </xf>
    <xf borderId="0" fillId="32" fontId="30" numFmtId="0" xfId="0" applyAlignment="1" applyFont="1">
      <alignment vertical="center"/>
    </xf>
    <xf borderId="25" fillId="32" fontId="30" numFmtId="0" xfId="0" applyAlignment="1" applyBorder="1" applyFont="1">
      <alignment horizontal="center" vertical="center"/>
    </xf>
    <xf borderId="29" fillId="0" fontId="2" numFmtId="0" xfId="0" applyAlignment="1" applyBorder="1" applyFont="1">
      <alignment readingOrder="0" vertical="center"/>
    </xf>
    <xf borderId="0" fillId="0" fontId="27" numFmtId="0" xfId="0" applyAlignment="1" applyFont="1">
      <alignment horizontal="right" readingOrder="0" shrinkToFit="0" vertical="top" wrapText="1"/>
    </xf>
    <xf borderId="5" fillId="32" fontId="36" numFmtId="0" xfId="0" applyAlignment="1" applyBorder="1" applyFont="1">
      <alignment readingOrder="0"/>
    </xf>
    <xf borderId="6" fillId="32" fontId="30" numFmtId="0" xfId="0" applyBorder="1" applyFont="1"/>
    <xf borderId="7" fillId="32" fontId="30" numFmtId="0" xfId="0" applyAlignment="1" applyBorder="1" applyFont="1">
      <alignment horizontal="center"/>
    </xf>
    <xf borderId="1" fillId="32" fontId="30" numFmtId="0" xfId="0" applyAlignment="1" applyBorder="1" applyFont="1">
      <alignment horizontal="center" readingOrder="0"/>
    </xf>
    <xf borderId="29" fillId="33" fontId="26" numFmtId="0" xfId="0" applyAlignment="1" applyBorder="1" applyFill="1" applyFont="1">
      <alignment readingOrder="0" vertical="center"/>
    </xf>
    <xf borderId="0" fillId="33" fontId="1" numFmtId="0" xfId="0" applyAlignment="1" applyFont="1">
      <alignment vertical="center"/>
    </xf>
    <xf borderId="25" fillId="33" fontId="1" numFmtId="0" xfId="0" applyAlignment="1" applyBorder="1" applyFont="1">
      <alignment horizontal="center" vertical="center"/>
    </xf>
    <xf borderId="29" fillId="32" fontId="28" numFmtId="0" xfId="0" applyAlignment="1" applyBorder="1" applyFont="1">
      <alignment readingOrder="0" vertical="center"/>
    </xf>
    <xf borderId="2" fillId="0" fontId="1" numFmtId="3" xfId="0" applyAlignment="1" applyBorder="1" applyFont="1" applyNumberFormat="1">
      <alignment horizontal="center" readingOrder="0" vertical="center"/>
    </xf>
    <xf borderId="0" fillId="0" fontId="37" numFmtId="0" xfId="0" applyAlignment="1" applyFont="1">
      <alignment vertical="center"/>
    </xf>
    <xf borderId="0" fillId="0" fontId="38" numFmtId="0" xfId="0" applyAlignment="1" applyFont="1">
      <alignment horizontal="left"/>
    </xf>
    <xf borderId="0" fillId="0" fontId="38" numFmtId="0" xfId="0" applyFont="1"/>
    <xf borderId="0" fillId="0" fontId="39" numFmtId="0" xfId="0" applyAlignment="1" applyFont="1">
      <alignment vertical="top"/>
    </xf>
    <xf borderId="0" fillId="0" fontId="38" numFmtId="0" xfId="0" applyAlignment="1" applyFont="1">
      <alignment vertical="top"/>
    </xf>
    <xf borderId="0" fillId="0" fontId="40" numFmtId="0" xfId="0" applyFont="1"/>
    <xf borderId="0" fillId="0" fontId="41" numFmtId="0" xfId="0" applyAlignment="1" applyFont="1">
      <alignment horizontal="left"/>
    </xf>
    <xf borderId="0" fillId="0" fontId="32" numFmtId="0" xfId="0" applyFont="1"/>
    <xf borderId="0" fillId="0" fontId="42" numFmtId="0" xfId="0" applyAlignment="1" applyFont="1">
      <alignment vertical="top"/>
    </xf>
    <xf borderId="0" fillId="0" fontId="43" numFmtId="0" xfId="0" applyFont="1"/>
    <xf borderId="0" fillId="0" fontId="44" numFmtId="164" xfId="0" applyAlignment="1" applyFont="1" applyNumberFormat="1">
      <alignment vertical="top"/>
    </xf>
    <xf borderId="0" fillId="0" fontId="37" numFmtId="165" xfId="0" applyAlignment="1" applyFont="1" applyNumberFormat="1">
      <alignment vertical="top"/>
    </xf>
    <xf borderId="0" fillId="0" fontId="32" numFmtId="0" xfId="0" applyAlignment="1" applyFont="1">
      <alignment vertical="center"/>
    </xf>
    <xf borderId="0" fillId="0" fontId="45" numFmtId="0" xfId="0" applyAlignment="1" applyFont="1">
      <alignment horizontal="center" vertical="center"/>
    </xf>
    <xf borderId="0" fillId="0" fontId="46" numFmtId="0" xfId="0" applyAlignment="1" applyFont="1">
      <alignment horizontal="center" vertical="center"/>
    </xf>
    <xf borderId="45" fillId="34" fontId="41" numFmtId="0" xfId="0" applyAlignment="1" applyBorder="1" applyFill="1" applyFont="1">
      <alignment horizontal="center" vertical="center"/>
    </xf>
    <xf borderId="46" fillId="0" fontId="5" numFmtId="0" xfId="0" applyBorder="1" applyFont="1"/>
    <xf borderId="47" fillId="0" fontId="5" numFmtId="0" xfId="0" applyBorder="1" applyFont="1"/>
    <xf borderId="29" fillId="0" fontId="32" numFmtId="0" xfId="0" applyAlignment="1" applyBorder="1" applyFont="1">
      <alignment horizontal="center" vertical="center"/>
    </xf>
    <xf borderId="0" fillId="0" fontId="47" numFmtId="164" xfId="0" applyAlignment="1" applyFont="1" applyNumberFormat="1">
      <alignment vertical="top"/>
    </xf>
    <xf borderId="25" fillId="0" fontId="32" numFmtId="165" xfId="0" applyAlignment="1" applyBorder="1" applyFont="1" applyNumberFormat="1">
      <alignment vertical="top"/>
    </xf>
    <xf borderId="0" fillId="0" fontId="48" numFmtId="0" xfId="0" applyAlignment="1" applyFont="1">
      <alignment horizontal="left" vertical="center"/>
    </xf>
    <xf borderId="0" fillId="0" fontId="49" numFmtId="0" xfId="0" applyAlignment="1" applyFont="1">
      <alignment vertical="center"/>
    </xf>
    <xf borderId="29" fillId="0" fontId="32" numFmtId="0" xfId="0" applyAlignment="1" applyBorder="1" applyFont="1">
      <alignment horizontal="center" vertical="top"/>
    </xf>
    <xf borderId="0" fillId="0" fontId="49" numFmtId="0" xfId="0" applyAlignment="1" applyFont="1">
      <alignment readingOrder="0" vertical="top"/>
    </xf>
    <xf borderId="0" fillId="0" fontId="49" numFmtId="0" xfId="0" applyAlignment="1" applyFont="1">
      <alignment vertical="top"/>
    </xf>
    <xf borderId="0" fillId="0" fontId="50" numFmtId="0" xfId="0" applyAlignment="1" applyFont="1">
      <alignment readingOrder="0" vertical="top"/>
    </xf>
    <xf borderId="18" fillId="0" fontId="32" numFmtId="0" xfId="0" applyAlignment="1" applyBorder="1" applyFont="1">
      <alignment horizontal="center" vertical="center"/>
    </xf>
    <xf borderId="26" fillId="0" fontId="32" numFmtId="0" xfId="0" applyAlignment="1" applyBorder="1" applyFont="1">
      <alignment vertical="center"/>
    </xf>
    <xf borderId="26" fillId="0" fontId="47" numFmtId="164" xfId="0" applyAlignment="1" applyBorder="1" applyFont="1" applyNumberFormat="1">
      <alignment vertical="top"/>
    </xf>
    <xf borderId="27" fillId="0" fontId="32" numFmtId="165" xfId="0" applyAlignment="1" applyBorder="1" applyFont="1" applyNumberFormat="1">
      <alignment vertical="top"/>
    </xf>
    <xf borderId="0" fillId="0" fontId="32" numFmtId="0" xfId="0" applyAlignment="1" applyFont="1">
      <alignment horizontal="center" vertical="center"/>
    </xf>
    <xf borderId="0" fillId="0" fontId="32" numFmtId="165" xfId="0" applyAlignment="1" applyFont="1" applyNumberFormat="1">
      <alignment vertical="top"/>
    </xf>
    <xf borderId="0" fillId="0" fontId="32" numFmtId="0" xfId="0" applyAlignment="1" applyFont="1">
      <alignment readingOrder="0" vertical="center"/>
    </xf>
    <xf borderId="0" fillId="0" fontId="48" numFmtId="0" xfId="0" applyAlignment="1" applyFont="1">
      <alignment vertical="center"/>
    </xf>
    <xf borderId="0" fillId="0" fontId="41" numFmtId="0" xfId="0" applyAlignment="1" applyFont="1">
      <alignment horizontal="center" readingOrder="0" vertical="center"/>
    </xf>
    <xf borderId="45" fillId="34" fontId="41" numFmtId="0" xfId="0" applyAlignment="1" applyBorder="1" applyFont="1">
      <alignment horizontal="center" readingOrder="0" vertical="center"/>
    </xf>
    <xf borderId="0" fillId="0" fontId="32" numFmtId="0" xfId="0" applyAlignment="1" applyFont="1">
      <alignment horizontal="left" readingOrder="0" vertical="center"/>
    </xf>
    <xf borderId="0" fillId="0" fontId="32" numFmtId="0" xfId="0" applyAlignment="1" applyFont="1">
      <alignment horizontal="left" vertical="center"/>
    </xf>
    <xf borderId="0" fillId="0" fontId="46" numFmtId="0" xfId="0" applyAlignment="1" applyFont="1">
      <alignment vertical="center"/>
    </xf>
    <xf borderId="0" fillId="0" fontId="47" numFmtId="0" xfId="0" applyAlignment="1" applyFont="1">
      <alignment vertical="top"/>
    </xf>
    <xf borderId="0" fillId="0" fontId="37" numFmtId="0" xfId="0" applyAlignment="1" applyFont="1">
      <alignment readingOrder="0" vertical="center"/>
    </xf>
    <xf borderId="0" fillId="0" fontId="51" numFmtId="0" xfId="0" applyFont="1"/>
    <xf borderId="5" fillId="32" fontId="52" numFmtId="0" xfId="0" applyAlignment="1" applyBorder="1" applyFont="1">
      <alignment readingOrder="0"/>
    </xf>
    <xf borderId="6" fillId="32" fontId="52" numFmtId="0" xfId="0" applyBorder="1" applyFont="1"/>
    <xf borderId="7" fillId="32" fontId="52" numFmtId="0" xfId="0" applyAlignment="1" applyBorder="1" applyFont="1">
      <alignment horizontal="center"/>
    </xf>
    <xf borderId="1" fillId="32" fontId="52" numFmtId="0" xfId="0" applyAlignment="1" applyBorder="1" applyFont="1">
      <alignment horizontal="center" readingOrder="0"/>
    </xf>
    <xf borderId="0" fillId="0" fontId="51" numFmtId="0" xfId="0" applyAlignment="1" applyFont="1">
      <alignment horizontal="center" readingOrder="0"/>
    </xf>
    <xf borderId="29" fillId="35" fontId="53" numFmtId="0" xfId="0" applyAlignment="1" applyBorder="1" applyFill="1" applyFont="1">
      <alignment readingOrder="0" vertical="center"/>
    </xf>
    <xf borderId="0" fillId="35" fontId="54" numFmtId="0" xfId="0" applyAlignment="1" applyFont="1">
      <alignment vertical="center"/>
    </xf>
    <xf borderId="25" fillId="35" fontId="1" numFmtId="0" xfId="0" applyAlignment="1" applyBorder="1" applyFont="1">
      <alignment horizontal="center" vertical="center"/>
    </xf>
    <xf borderId="29" fillId="0" fontId="26" numFmtId="0" xfId="0" applyAlignment="1" applyBorder="1" applyFont="1">
      <alignment readingOrder="0" vertical="center"/>
    </xf>
    <xf borderId="29" fillId="35" fontId="2" numFmtId="0" xfId="0" applyAlignment="1" applyBorder="1" applyFont="1">
      <alignment readingOrder="0" vertical="center"/>
    </xf>
    <xf borderId="0" fillId="35" fontId="1" numFmtId="0" xfId="0" applyAlignment="1" applyFont="1">
      <alignment vertical="center"/>
    </xf>
    <xf borderId="29" fillId="22" fontId="55" numFmtId="0" xfId="0" applyAlignment="1" applyBorder="1" applyFont="1">
      <alignment readingOrder="0"/>
    </xf>
    <xf borderId="29" fillId="22" fontId="56" numFmtId="0" xfId="0" applyAlignment="1" applyBorder="1" applyFont="1">
      <alignment readingOrder="0"/>
    </xf>
    <xf borderId="29" fillId="14" fontId="2" numFmtId="0" xfId="0" applyAlignment="1" applyBorder="1" applyFont="1">
      <alignment readingOrder="0" vertical="center"/>
    </xf>
    <xf borderId="0" fillId="0" fontId="6" numFmtId="0" xfId="0" applyAlignment="1" applyFont="1">
      <alignment horizontal="right" readingOrder="0"/>
    </xf>
    <xf borderId="2" fillId="0" fontId="1" numFmtId="0" xfId="0" applyAlignment="1" applyBorder="1" applyFont="1">
      <alignment horizontal="center" vertical="center"/>
    </xf>
    <xf borderId="29" fillId="0" fontId="33" numFmtId="0" xfId="0" applyAlignment="1" applyBorder="1" applyFont="1">
      <alignment readingOrder="0" vertical="center"/>
    </xf>
    <xf borderId="3" fillId="0" fontId="1" numFmtId="3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3" fontId="8" numFmtId="0" xfId="0" applyAlignment="1" applyFont="1">
      <alignment horizontal="left" readingOrder="0"/>
    </xf>
    <xf borderId="0" fillId="3" fontId="8" numFmtId="0" xfId="0" applyAlignment="1" applyFont="1">
      <alignment horizontal="center" readingOrder="0"/>
    </xf>
    <xf borderId="30" fillId="0" fontId="57" numFmtId="0" xfId="0" applyAlignment="1" applyBorder="1" applyFont="1">
      <alignment horizontal="center" readingOrder="0" vertical="center"/>
    </xf>
    <xf borderId="48" fillId="0" fontId="5" numFmtId="0" xfId="0" applyBorder="1" applyFont="1"/>
    <xf borderId="40" fillId="29" fontId="57" numFmtId="0" xfId="0" applyAlignment="1" applyBorder="1" applyFont="1">
      <alignment horizontal="center" readingOrder="0" vertical="center"/>
    </xf>
    <xf borderId="35" fillId="0" fontId="1" numFmtId="0" xfId="0" applyAlignment="1" applyBorder="1" applyFont="1">
      <alignment horizontal="right" readingOrder="0" vertical="center"/>
    </xf>
    <xf borderId="4" fillId="5" fontId="1" numFmtId="0" xfId="0" applyAlignment="1" applyBorder="1" applyFont="1">
      <alignment readingOrder="0"/>
    </xf>
    <xf borderId="49" fillId="29" fontId="1" numFmtId="0" xfId="0" applyAlignment="1" applyBorder="1" applyFont="1">
      <alignment horizontal="center" readingOrder="0"/>
    </xf>
    <xf borderId="11" fillId="29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44" fillId="29" fontId="1" numFmtId="0" xfId="0" applyAlignment="1" applyBorder="1" applyFont="1">
      <alignment horizontal="center" readingOrder="0"/>
    </xf>
    <xf borderId="50" fillId="0" fontId="5" numFmtId="0" xfId="0" applyBorder="1" applyFont="1"/>
    <xf borderId="21" fillId="2" fontId="1" numFmtId="0" xfId="0" applyAlignment="1" applyBorder="1" applyFont="1">
      <alignment readingOrder="0"/>
    </xf>
    <xf borderId="20" fillId="29" fontId="1" numFmtId="0" xfId="0" applyAlignment="1" applyBorder="1" applyFont="1">
      <alignment horizontal="center" readingOrder="0"/>
    </xf>
    <xf borderId="33" fillId="0" fontId="1" numFmtId="0" xfId="0" applyAlignment="1" applyBorder="1" applyFont="1">
      <alignment horizontal="right" readingOrder="0" vertical="center"/>
    </xf>
    <xf borderId="49" fillId="0" fontId="1" numFmtId="0" xfId="0" applyAlignment="1" applyBorder="1" applyFont="1">
      <alignment readingOrder="0"/>
    </xf>
    <xf borderId="44" fillId="0" fontId="1" numFmtId="0" xfId="0" applyAlignment="1" applyBorder="1" applyFont="1">
      <alignment readingOrder="0"/>
    </xf>
    <xf borderId="20" fillId="0" fontId="1" numFmtId="0" xfId="0" applyAlignment="1" applyBorder="1" applyFont="1">
      <alignment readingOrder="0"/>
    </xf>
    <xf borderId="38" fillId="0" fontId="1" numFmtId="0" xfId="0" applyBorder="1" applyFont="1"/>
    <xf borderId="11" fillId="0" fontId="1" numFmtId="0" xfId="0" applyBorder="1" applyFont="1"/>
    <xf borderId="44" fillId="0" fontId="1" numFmtId="0" xfId="0" applyBorder="1" applyFont="1"/>
    <xf borderId="20" fillId="0" fontId="1" numFmtId="0" xfId="0" applyBorder="1" applyFont="1"/>
    <xf borderId="49" fillId="0" fontId="1" numFmtId="0" xfId="0" applyBorder="1" applyFont="1"/>
    <xf borderId="0" fillId="6" fontId="27" numFmtId="0" xfId="0" applyAlignment="1" applyFont="1">
      <alignment horizontal="right" readingOrder="0"/>
    </xf>
    <xf borderId="0" fillId="30" fontId="27" numFmtId="0" xfId="0" applyAlignment="1" applyFont="1">
      <alignment horizontal="right" readingOrder="0"/>
    </xf>
    <xf borderId="5" fillId="31" fontId="1" numFmtId="0" xfId="0" applyAlignment="1" applyBorder="1" applyFont="1">
      <alignment readingOrder="0" vertical="top"/>
    </xf>
    <xf borderId="6" fillId="31" fontId="1" numFmtId="0" xfId="0" applyAlignment="1" applyBorder="1" applyFont="1">
      <alignment vertical="top"/>
    </xf>
    <xf borderId="7" fillId="31" fontId="1" numFmtId="0" xfId="0" applyAlignment="1" applyBorder="1" applyFont="1">
      <alignment horizontal="center" vertical="top"/>
    </xf>
    <xf borderId="1" fillId="31" fontId="1" numFmtId="0" xfId="0" applyAlignment="1" applyBorder="1" applyFont="1">
      <alignment horizontal="center" readingOrder="0" vertical="top"/>
    </xf>
    <xf borderId="1" fillId="31" fontId="1" numFmtId="0" xfId="0" applyAlignment="1" applyBorder="1" applyFont="1">
      <alignment horizontal="center" readingOrder="0" shrinkToFit="0" vertical="top" wrapText="1"/>
    </xf>
    <xf borderId="29" fillId="5" fontId="26" numFmtId="0" xfId="0" applyAlignment="1" applyBorder="1" applyFont="1">
      <alignment readingOrder="0" vertical="center"/>
    </xf>
    <xf borderId="0" fillId="5" fontId="1" numFmtId="0" xfId="0" applyAlignment="1" applyFont="1">
      <alignment vertical="center"/>
    </xf>
    <xf borderId="25" fillId="5" fontId="1" numFmtId="0" xfId="0" applyAlignment="1" applyBorder="1" applyFont="1">
      <alignment horizontal="center" vertical="center"/>
    </xf>
    <xf borderId="5" fillId="31" fontId="1" numFmtId="0" xfId="0" applyAlignment="1" applyBorder="1" applyFont="1">
      <alignment readingOrder="0"/>
    </xf>
    <xf borderId="1" fillId="31" fontId="1" numFmtId="0" xfId="0" applyAlignment="1" applyBorder="1" applyFont="1">
      <alignment horizontal="center" readingOrder="0"/>
    </xf>
    <xf borderId="0" fillId="0" fontId="1" numFmtId="3" xfId="0" applyAlignment="1" applyFont="1" applyNumberFormat="1">
      <alignment horizontal="center" vertical="center"/>
    </xf>
    <xf borderId="29" fillId="29" fontId="1" numFmtId="0" xfId="0" applyAlignment="1" applyBorder="1" applyFont="1">
      <alignment horizontal="center" readingOrder="0" vertical="center"/>
    </xf>
    <xf borderId="25" fillId="0" fontId="5" numFmtId="0" xfId="0" applyBorder="1" applyFont="1"/>
    <xf borderId="0" fillId="0" fontId="1" numFmtId="0" xfId="0" applyAlignment="1" applyFont="1">
      <alignment horizontal="center" vertical="center"/>
    </xf>
    <xf borderId="25" fillId="28" fontId="1" numFmtId="3" xfId="0" applyAlignment="1" applyBorder="1" applyFont="1" applyNumberFormat="1">
      <alignment horizontal="center" readingOrder="0" vertical="center"/>
    </xf>
    <xf borderId="3" fillId="28" fontId="6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horizontal="center" readingOrder="0" vertical="center"/>
    </xf>
    <xf borderId="25" fillId="0" fontId="6" numFmtId="0" xfId="0" applyAlignment="1" applyBorder="1" applyFont="1">
      <alignment horizontal="center" readingOrder="0" vertical="center"/>
    </xf>
    <xf borderId="18" fillId="0" fontId="1" numFmtId="0" xfId="0" applyAlignment="1" applyBorder="1" applyFont="1">
      <alignment horizontal="center" vertical="center"/>
    </xf>
    <xf borderId="25" fillId="0" fontId="6" numFmtId="0" xfId="0" applyAlignment="1" applyBorder="1" applyFont="1">
      <alignment horizontal="center" readingOrder="0"/>
    </xf>
    <xf borderId="29" fillId="34" fontId="2" numFmtId="0" xfId="0" applyAlignment="1" applyBorder="1" applyFont="1">
      <alignment readingOrder="0" vertical="center"/>
    </xf>
    <xf borderId="0" fillId="34" fontId="1" numFmtId="0" xfId="0" applyAlignment="1" applyFont="1">
      <alignment vertical="center"/>
    </xf>
    <xf borderId="25" fillId="34" fontId="1" numFmtId="0" xfId="0" applyAlignment="1" applyBorder="1" applyFont="1">
      <alignment horizontal="center" vertical="center"/>
    </xf>
    <xf borderId="3" fillId="34" fontId="1" numFmtId="0" xfId="0" applyAlignment="1" applyBorder="1" applyFont="1">
      <alignment horizontal="center" vertical="center"/>
    </xf>
    <xf borderId="0" fillId="34" fontId="1" numFmtId="0" xfId="0" applyFont="1"/>
    <xf borderId="29" fillId="34" fontId="55" numFmtId="0" xfId="0" applyAlignment="1" applyBorder="1" applyFont="1">
      <alignment readingOrder="0"/>
    </xf>
    <xf borderId="25" fillId="34" fontId="1" numFmtId="3" xfId="0" applyAlignment="1" applyBorder="1" applyFont="1" applyNumberFormat="1">
      <alignment horizontal="center" readingOrder="0" vertical="center"/>
    </xf>
    <xf borderId="29" fillId="34" fontId="1" numFmtId="0" xfId="0" applyAlignment="1" applyBorder="1" applyFont="1">
      <alignment readingOrder="0" vertical="center"/>
    </xf>
    <xf borderId="3" fillId="34" fontId="1" numFmtId="0" xfId="0" applyAlignment="1" applyBorder="1" applyFont="1">
      <alignment horizontal="center" readingOrder="0" vertical="center"/>
    </xf>
    <xf borderId="29" fillId="34" fontId="29" numFmtId="0" xfId="0" applyAlignment="1" applyBorder="1" applyFont="1">
      <alignment horizontal="left" readingOrder="0" shrinkToFit="0" vertical="center" wrapText="0"/>
    </xf>
    <xf borderId="0" fillId="34" fontId="1" numFmtId="3" xfId="0" applyAlignment="1" applyFont="1" applyNumberFormat="1">
      <alignment horizontal="center" readingOrder="0" vertical="center"/>
    </xf>
    <xf borderId="3" fillId="34" fontId="6" numFmtId="0" xfId="0" applyAlignment="1" applyBorder="1" applyFont="1">
      <alignment horizontal="center" readingOrder="0" vertical="center"/>
    </xf>
    <xf borderId="29" fillId="34" fontId="56" numFmtId="0" xfId="0" applyAlignment="1" applyBorder="1" applyFont="1">
      <alignment readingOrder="0"/>
    </xf>
    <xf borderId="29" fillId="24" fontId="1" numFmtId="0" xfId="0" applyAlignment="1" applyBorder="1" applyFont="1">
      <alignment readingOrder="0" vertical="center"/>
    </xf>
    <xf borderId="0" fillId="24" fontId="1" numFmtId="0" xfId="0" applyAlignment="1" applyFont="1">
      <alignment vertical="center"/>
    </xf>
    <xf borderId="25" fillId="24" fontId="1" numFmtId="0" xfId="0" applyAlignment="1" applyBorder="1" applyFont="1">
      <alignment horizontal="center" vertical="center"/>
    </xf>
    <xf borderId="3" fillId="24" fontId="1" numFmtId="0" xfId="0" applyAlignment="1" applyBorder="1" applyFont="1">
      <alignment horizontal="center" vertical="center"/>
    </xf>
    <xf borderId="29" fillId="0" fontId="1" numFmtId="0" xfId="0" applyAlignment="1" applyBorder="1" applyFont="1">
      <alignment horizontal="center" readingOrder="0" vertical="center"/>
    </xf>
    <xf borderId="29" fillId="0" fontId="1" numFmtId="0" xfId="0" applyAlignment="1" applyBorder="1" applyFont="1">
      <alignment horizontal="center" vertical="center"/>
    </xf>
    <xf borderId="4" fillId="0" fontId="1" numFmtId="3" xfId="0" applyAlignment="1" applyBorder="1" applyFont="1" applyNumberFormat="1">
      <alignment horizontal="center" readingOrder="0" vertical="center"/>
    </xf>
    <xf borderId="0" fillId="0" fontId="58" numFmtId="0" xfId="0" applyAlignment="1" applyFont="1">
      <alignment horizontal="center"/>
    </xf>
    <xf borderId="0" fillId="0" fontId="1" numFmtId="0" xfId="0" applyAlignment="1" applyFont="1">
      <alignment readingOrder="0"/>
    </xf>
    <xf borderId="29" fillId="34" fontId="1" numFmtId="0" xfId="0" applyAlignment="1" applyBorder="1" applyFont="1">
      <alignment horizontal="center" readingOrder="0" shrinkToFit="0" vertical="center" wrapText="1"/>
    </xf>
    <xf borderId="29" fillId="0" fontId="5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top"/>
    </xf>
    <xf borderId="0" fillId="36" fontId="2" numFmtId="3" xfId="0" applyAlignment="1" applyFill="1" applyFont="1" applyNumberFormat="1">
      <alignment horizontal="right"/>
    </xf>
    <xf borderId="0" fillId="27" fontId="2" numFmtId="0" xfId="0" applyAlignment="1" applyFont="1">
      <alignment horizontal="center" readingOrder="0"/>
    </xf>
    <xf borderId="40" fillId="6" fontId="57" numFmtId="0" xfId="0" applyAlignment="1" applyBorder="1" applyFont="1">
      <alignment horizontal="center" readingOrder="0" vertical="center"/>
    </xf>
    <xf borderId="0" fillId="0" fontId="57" numFmtId="0" xfId="0" applyAlignment="1" applyFont="1">
      <alignment horizontal="center" readingOrder="0" vertical="center"/>
    </xf>
    <xf borderId="51" fillId="29" fontId="1" numFmtId="0" xfId="0" applyAlignment="1" applyBorder="1" applyFont="1">
      <alignment horizontal="center" readingOrder="0"/>
    </xf>
    <xf borderId="52" fillId="0" fontId="1" numFmtId="0" xfId="0" applyBorder="1" applyFont="1"/>
    <xf borderId="53" fillId="29" fontId="1" numFmtId="0" xfId="0" applyAlignment="1" applyBorder="1" applyFont="1">
      <alignment horizontal="center" readingOrder="0"/>
    </xf>
    <xf borderId="53" fillId="0" fontId="1" numFmtId="0" xfId="0" applyBorder="1" applyFont="1"/>
    <xf borderId="54" fillId="29" fontId="1" numFmtId="0" xfId="0" applyAlignment="1" applyBorder="1" applyFont="1">
      <alignment horizontal="center" readingOrder="0"/>
    </xf>
    <xf borderId="54" fillId="0" fontId="1" numFmtId="0" xfId="0" applyBorder="1" applyFont="1"/>
    <xf borderId="55" fillId="29" fontId="1" numFmtId="0" xfId="0" applyAlignment="1" applyBorder="1" applyFont="1">
      <alignment horizontal="center" readingOrder="0"/>
    </xf>
    <xf borderId="51" fillId="0" fontId="1" numFmtId="0" xfId="0" applyAlignment="1" applyBorder="1" applyFont="1">
      <alignment readingOrder="0"/>
    </xf>
    <xf borderId="53" fillId="0" fontId="1" numFmtId="0" xfId="0" applyAlignment="1" applyBorder="1" applyFont="1">
      <alignment readingOrder="0"/>
    </xf>
    <xf borderId="54" fillId="0" fontId="1" numFmtId="0" xfId="0" applyAlignment="1" applyBorder="1" applyFont="1">
      <alignment readingOrder="0"/>
    </xf>
    <xf borderId="55" fillId="0" fontId="1" numFmtId="0" xfId="0" applyAlignment="1" applyBorder="1" applyFont="1">
      <alignment readingOrder="0"/>
    </xf>
    <xf borderId="55" fillId="0" fontId="1" numFmtId="0" xfId="0" applyBorder="1" applyFont="1"/>
    <xf borderId="51" fillId="0" fontId="1" numFmtId="0" xfId="0" applyBorder="1" applyFont="1"/>
    <xf borderId="0" fillId="3" fontId="8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40" fillId="2" fontId="57" numFmtId="0" xfId="0" applyAlignment="1" applyBorder="1" applyFont="1">
      <alignment horizontal="center" readingOrder="0" vertical="center"/>
    </xf>
    <xf borderId="30" fillId="3" fontId="57" numFmtId="0" xfId="0" applyAlignment="1" applyBorder="1" applyFont="1">
      <alignment horizontal="center" readingOrder="0" shrinkToFit="0" vertical="center" wrapText="1"/>
    </xf>
    <xf borderId="48" fillId="6" fontId="57" numFmtId="0" xfId="0" applyAlignment="1" applyBorder="1" applyFont="1">
      <alignment horizontal="center" readingOrder="0" shrinkToFit="0" vertical="center" wrapText="1"/>
    </xf>
    <xf borderId="56" fillId="6" fontId="57" numFmtId="0" xfId="0" applyAlignment="1" applyBorder="1" applyFont="1">
      <alignment horizontal="center" readingOrder="0" shrinkToFit="0" vertical="center" wrapText="1"/>
    </xf>
    <xf borderId="57" fillId="6" fontId="57" numFmtId="0" xfId="0" applyAlignment="1" applyBorder="1" applyFont="1">
      <alignment horizontal="center" readingOrder="0" shrinkToFit="0" vertical="center" wrapText="1"/>
    </xf>
    <xf borderId="31" fillId="6" fontId="57" numFmtId="0" xfId="0" applyAlignment="1" applyBorder="1" applyFont="1">
      <alignment horizontal="center" readingOrder="0" shrinkToFit="0" vertical="center" wrapText="1"/>
    </xf>
    <xf borderId="30" fillId="6" fontId="57" numFmtId="0" xfId="0" applyAlignment="1" applyBorder="1" applyFont="1">
      <alignment horizontal="center" readingOrder="0" shrinkToFit="0" vertical="center" wrapText="1"/>
    </xf>
    <xf borderId="40" fillId="6" fontId="57" numFmtId="0" xfId="0" applyAlignment="1" applyBorder="1" applyFont="1">
      <alignment horizontal="center" readingOrder="0" shrinkToFit="0" vertical="center" wrapText="1"/>
    </xf>
    <xf borderId="52" fillId="0" fontId="1" numFmtId="0" xfId="0" applyAlignment="1" applyBorder="1" applyFont="1">
      <alignment horizontal="center"/>
    </xf>
    <xf borderId="38" fillId="0" fontId="1" numFmtId="0" xfId="0" applyAlignment="1" applyBorder="1" applyFont="1">
      <alignment horizontal="center" shrinkToFit="0" wrapText="1"/>
    </xf>
    <xf borderId="17" fillId="0" fontId="1" numFmtId="0" xfId="0" applyAlignment="1" applyBorder="1" applyFont="1">
      <alignment shrinkToFit="0" wrapText="1"/>
    </xf>
    <xf borderId="27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8" fillId="29" fontId="1" numFmtId="0" xfId="0" applyAlignment="1" applyBorder="1" applyFont="1">
      <alignment horizontal="center" readingOrder="0" shrinkToFit="0" wrapText="1"/>
    </xf>
    <xf borderId="59" fillId="29" fontId="1" numFmtId="0" xfId="0" applyAlignment="1" applyBorder="1" applyFont="1">
      <alignment horizontal="center" readingOrder="0" shrinkToFit="0" wrapText="1"/>
    </xf>
    <xf borderId="38" fillId="0" fontId="1" numFmtId="0" xfId="0" applyAlignment="1" applyBorder="1" applyFont="1">
      <alignment shrinkToFit="0" wrapText="1"/>
    </xf>
    <xf borderId="60" fillId="0" fontId="1" numFmtId="0" xfId="0" applyAlignment="1" applyBorder="1" applyFont="1">
      <alignment shrinkToFit="0" wrapText="1"/>
    </xf>
    <xf borderId="9" fillId="29" fontId="1" numFmtId="0" xfId="0" applyAlignment="1" applyBorder="1" applyFont="1">
      <alignment horizontal="center" readingOrder="0" shrinkToFit="0" wrapText="1"/>
    </xf>
    <xf borderId="61" fillId="0" fontId="1" numFmtId="0" xfId="0" applyAlignment="1" applyBorder="1" applyFont="1">
      <alignment shrinkToFit="0" wrapText="1"/>
    </xf>
    <xf borderId="51" fillId="29" fontId="1" numFmtId="0" xfId="0" applyAlignment="1" applyBorder="1" applyFont="1">
      <alignment horizontal="center" readingOrder="0" shrinkToFit="0" wrapText="1"/>
    </xf>
    <xf borderId="53" fillId="0" fontId="1" numFmtId="0" xfId="0" applyAlignment="1" applyBorder="1" applyFont="1">
      <alignment horizontal="center" readingOrder="0"/>
    </xf>
    <xf borderId="11" fillId="0" fontId="1" numFmtId="0" xfId="0" applyAlignment="1" applyBorder="1" applyFont="1">
      <alignment horizontal="center" shrinkToFit="0" wrapText="1"/>
    </xf>
    <xf borderId="12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29" fontId="1" numFmtId="0" xfId="0" applyAlignment="1" applyBorder="1" applyFont="1">
      <alignment horizontal="center" readingOrder="0" shrinkToFit="0" wrapText="1"/>
    </xf>
    <xf borderId="5" fillId="29" fontId="1" numFmtId="0" xfId="0" applyAlignment="1" applyBorder="1" applyFont="1">
      <alignment horizontal="center" readingOrder="0" shrinkToFit="0" wrapText="1"/>
    </xf>
    <xf borderId="11" fillId="0" fontId="1" numFmtId="0" xfId="0" applyAlignment="1" applyBorder="1" applyFont="1">
      <alignment shrinkToFit="0" wrapText="1"/>
    </xf>
    <xf borderId="6" fillId="29" fontId="1" numFmtId="0" xfId="0" applyAlignment="1" applyBorder="1" applyFont="1">
      <alignment horizontal="center" readingOrder="0" shrinkToFit="0" wrapText="1"/>
    </xf>
    <xf borderId="19" fillId="0" fontId="1" numFmtId="0" xfId="0" applyAlignment="1" applyBorder="1" applyFont="1">
      <alignment shrinkToFit="0" wrapText="1"/>
    </xf>
    <xf borderId="53" fillId="29" fontId="1" numFmtId="0" xfId="0" applyAlignment="1" applyBorder="1" applyFont="1">
      <alignment horizontal="center" readingOrder="0" shrinkToFit="0" wrapText="1"/>
    </xf>
    <xf borderId="54" fillId="0" fontId="1" numFmtId="0" xfId="0" applyAlignment="1" applyBorder="1" applyFont="1">
      <alignment horizontal="center"/>
    </xf>
    <xf borderId="44" fillId="0" fontId="1" numFmtId="0" xfId="0" applyAlignment="1" applyBorder="1" applyFont="1">
      <alignment horizontal="center" shrinkToFit="0" wrapText="1"/>
    </xf>
    <xf borderId="15" fillId="0" fontId="1" numFmtId="0" xfId="0" applyAlignment="1" applyBorder="1" applyFont="1">
      <alignment shrinkToFit="0" wrapText="1"/>
    </xf>
    <xf borderId="62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2" fillId="29" fontId="1" numFmtId="0" xfId="0" applyAlignment="1" applyBorder="1" applyFont="1">
      <alignment horizontal="center" readingOrder="0" shrinkToFit="0" wrapText="1"/>
    </xf>
    <xf borderId="16" fillId="29" fontId="1" numFmtId="0" xfId="0" applyAlignment="1" applyBorder="1" applyFont="1">
      <alignment horizontal="center" readingOrder="0" shrinkToFit="0" wrapText="1"/>
    </xf>
    <xf borderId="44" fillId="0" fontId="1" numFmtId="0" xfId="0" applyAlignment="1" applyBorder="1" applyFont="1">
      <alignment shrinkToFit="0" wrapText="1"/>
    </xf>
    <xf borderId="63" fillId="29" fontId="1" numFmtId="0" xfId="0" applyAlignment="1" applyBorder="1" applyFont="1">
      <alignment horizontal="center" readingOrder="0" shrinkToFit="0" wrapText="1"/>
    </xf>
    <xf borderId="64" fillId="0" fontId="1" numFmtId="0" xfId="0" applyAlignment="1" applyBorder="1" applyFont="1">
      <alignment shrinkToFit="0" wrapText="1"/>
    </xf>
    <xf borderId="54" fillId="29" fontId="1" numFmtId="0" xfId="0" applyAlignment="1" applyBorder="1" applyFont="1">
      <alignment horizontal="center" readingOrder="0" shrinkToFit="0" wrapText="1"/>
    </xf>
    <xf borderId="55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 shrinkToFit="0" wrapText="1"/>
    </xf>
    <xf borderId="22" fillId="0" fontId="1" numFmtId="0" xfId="0" applyAlignment="1" applyBorder="1" applyFont="1">
      <alignment shrinkToFit="0" wrapText="1"/>
    </xf>
    <xf borderId="65" fillId="0" fontId="1" numFmtId="0" xfId="0" applyAlignment="1" applyBorder="1" applyFont="1">
      <alignment shrinkToFit="0" wrapText="1"/>
    </xf>
    <xf borderId="21" fillId="0" fontId="1" numFmtId="0" xfId="0" applyAlignment="1" applyBorder="1" applyFont="1">
      <alignment shrinkToFit="0" wrapText="1"/>
    </xf>
    <xf borderId="21" fillId="29" fontId="1" numFmtId="0" xfId="0" applyAlignment="1" applyBorder="1" applyFont="1">
      <alignment horizontal="center" readingOrder="0" shrinkToFit="0" wrapText="1"/>
    </xf>
    <xf borderId="23" fillId="29" fontId="1" numFmtId="0" xfId="0" applyAlignment="1" applyBorder="1" applyFont="1">
      <alignment horizontal="center" readingOrder="0" shrinkToFit="0" wrapText="1"/>
    </xf>
    <xf borderId="20" fillId="0" fontId="1" numFmtId="0" xfId="0" applyAlignment="1" applyBorder="1" applyFont="1">
      <alignment shrinkToFit="0" wrapText="1"/>
    </xf>
    <xf borderId="66" fillId="29" fontId="1" numFmtId="0" xfId="0" applyAlignment="1" applyBorder="1" applyFont="1">
      <alignment horizontal="center" readingOrder="0" shrinkToFit="0" wrapText="1"/>
    </xf>
    <xf borderId="55" fillId="29" fontId="1" numFmtId="0" xfId="0" applyAlignment="1" applyBorder="1" applyFont="1">
      <alignment horizontal="center" readingOrder="0" shrinkToFit="0" wrapText="1"/>
    </xf>
    <xf borderId="49" fillId="0" fontId="1" numFmtId="0" xfId="0" applyAlignment="1" applyBorder="1" applyFont="1">
      <alignment horizontal="center" shrinkToFit="0" wrapText="1"/>
    </xf>
    <xf borderId="67" fillId="0" fontId="1" numFmtId="0" xfId="0" applyAlignment="1" applyBorder="1" applyFont="1">
      <alignment shrinkToFit="0" wrapText="1"/>
    </xf>
    <xf borderId="59" fillId="0" fontId="1" numFmtId="0" xfId="0" applyAlignment="1" applyBorder="1" applyFont="1">
      <alignment shrinkToFit="0" wrapText="1"/>
    </xf>
    <xf borderId="49" fillId="29" fontId="1" numFmtId="0" xfId="0" applyAlignment="1" applyBorder="1" applyFont="1">
      <alignment horizontal="center" readingOrder="0" shrinkToFit="0" wrapText="1"/>
    </xf>
    <xf borderId="49" fillId="3" fontId="1" numFmtId="0" xfId="0" applyAlignment="1" applyBorder="1" applyFont="1">
      <alignment horizontal="center" readingOrder="0" shrinkToFit="0" wrapText="1"/>
    </xf>
    <xf borderId="58" fillId="3" fontId="1" numFmtId="0" xfId="0" applyAlignment="1" applyBorder="1" applyFont="1">
      <alignment horizontal="center" readingOrder="0" shrinkToFit="0" wrapText="1"/>
    </xf>
    <xf borderId="59" fillId="3" fontId="1" numFmtId="0" xfId="0" applyAlignment="1" applyBorder="1" applyFont="1">
      <alignment horizontal="center" readingOrder="0" shrinkToFit="0" wrapText="1"/>
    </xf>
    <xf borderId="60" fillId="3" fontId="1" numFmtId="0" xfId="0" applyAlignment="1" applyBorder="1" applyFont="1">
      <alignment horizontal="center" readingOrder="0" shrinkToFit="0" wrapText="1"/>
    </xf>
    <xf borderId="8" fillId="29" fontId="1" numFmtId="0" xfId="0" applyAlignment="1" applyBorder="1" applyFont="1">
      <alignment horizontal="center" readingOrder="0" shrinkToFit="0" wrapText="1"/>
    </xf>
    <xf borderId="49" fillId="0" fontId="1" numFmtId="0" xfId="0" applyAlignment="1" applyBorder="1" applyFont="1">
      <alignment readingOrder="0" shrinkToFit="0" wrapText="1"/>
    </xf>
    <xf borderId="60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shrinkToFit="0" wrapText="1"/>
    </xf>
    <xf borderId="11" fillId="29" fontId="1" numFmtId="0" xfId="0" applyAlignment="1" applyBorder="1" applyFont="1">
      <alignment horizontal="center" readingOrder="0" shrinkToFit="0" wrapText="1"/>
    </xf>
    <xf borderId="12" fillId="29" fontId="1" numFmtId="0" xfId="0" applyAlignment="1" applyBorder="1" applyFont="1">
      <alignment horizontal="center" readingOrder="0" shrinkToFit="0" wrapText="1"/>
    </xf>
    <xf borderId="37" fillId="29" fontId="1" numFmtId="0" xfId="0" applyAlignment="1" applyBorder="1" applyFont="1">
      <alignment horizontal="center" readingOrder="0" shrinkToFit="0" wrapText="1"/>
    </xf>
    <xf borderId="11" fillId="0" fontId="1" numFmtId="0" xfId="0" applyAlignment="1" applyBorder="1" applyFont="1">
      <alignment readingOrder="0" shrinkToFit="0" wrapText="1"/>
    </xf>
    <xf borderId="12" fillId="0" fontId="1" numFmtId="0" xfId="0" applyAlignment="1" applyBorder="1" applyFont="1">
      <alignment readingOrder="0" shrinkToFit="0" wrapText="1"/>
    </xf>
    <xf borderId="16" fillId="0" fontId="1" numFmtId="0" xfId="0" applyAlignment="1" applyBorder="1" applyFont="1">
      <alignment shrinkToFit="0" wrapText="1"/>
    </xf>
    <xf borderId="44" fillId="29" fontId="1" numFmtId="0" xfId="0" applyAlignment="1" applyBorder="1" applyFont="1">
      <alignment horizontal="center" readingOrder="0" shrinkToFit="0" wrapText="1"/>
    </xf>
    <xf borderId="15" fillId="29" fontId="1" numFmtId="0" xfId="0" applyAlignment="1" applyBorder="1" applyFont="1">
      <alignment horizontal="center" readingOrder="0" shrinkToFit="0" wrapText="1"/>
    </xf>
    <xf borderId="43" fillId="29" fontId="1" numFmtId="0" xfId="0" applyAlignment="1" applyBorder="1" applyFont="1">
      <alignment horizontal="center" readingOrder="0" shrinkToFit="0" wrapText="1"/>
    </xf>
    <xf borderId="44" fillId="0" fontId="1" numFmtId="0" xfId="0" applyAlignment="1" applyBorder="1" applyFont="1">
      <alignment readingOrder="0" shrinkToFit="0" wrapText="1"/>
    </xf>
    <xf borderId="15" fillId="0" fontId="1" numFmtId="0" xfId="0" applyAlignment="1" applyBorder="1" applyFont="1">
      <alignment readingOrder="0" shrinkToFit="0" wrapText="1"/>
    </xf>
    <xf borderId="23" fillId="0" fontId="1" numFmtId="0" xfId="0" applyAlignment="1" applyBorder="1" applyFont="1">
      <alignment shrinkToFit="0" wrapText="1"/>
    </xf>
    <xf borderId="20" fillId="29" fontId="1" numFmtId="0" xfId="0" applyAlignment="1" applyBorder="1" applyFont="1">
      <alignment horizontal="center" readingOrder="0" shrinkToFit="0" wrapText="1"/>
    </xf>
    <xf borderId="22" fillId="29" fontId="1" numFmtId="0" xfId="0" applyAlignment="1" applyBorder="1" applyFont="1">
      <alignment horizontal="center" readingOrder="0" shrinkToFit="0" wrapText="1"/>
    </xf>
    <xf borderId="39" fillId="29" fontId="1" numFmtId="0" xfId="0" applyAlignment="1" applyBorder="1" applyFont="1">
      <alignment horizontal="center" readingOrder="0" shrinkToFit="0" wrapText="1"/>
    </xf>
    <xf borderId="20" fillId="0" fontId="1" numFmtId="0" xfId="0" applyAlignment="1" applyBorder="1" applyFont="1">
      <alignment readingOrder="0" shrinkToFit="0" wrapText="1"/>
    </xf>
    <xf borderId="22" fillId="0" fontId="1" numFmtId="0" xfId="0" applyAlignment="1" applyBorder="1" applyFont="1">
      <alignment readingOrder="0" shrinkToFit="0" wrapText="1"/>
    </xf>
    <xf borderId="51" fillId="0" fontId="1" numFmtId="0" xfId="0" applyAlignment="1" applyBorder="1" applyFont="1">
      <alignment horizontal="center"/>
    </xf>
    <xf borderId="58" fillId="0" fontId="1" numFmtId="0" xfId="0" applyAlignment="1" applyBorder="1" applyFont="1">
      <alignment shrinkToFit="0" wrapText="1"/>
    </xf>
    <xf borderId="49" fillId="0" fontId="1" numFmtId="0" xfId="0" applyAlignment="1" applyBorder="1" applyFont="1">
      <alignment shrinkToFit="0" wrapText="1"/>
    </xf>
    <xf borderId="9" fillId="0" fontId="1" numFmtId="0" xfId="0" applyAlignment="1" applyBorder="1" applyFont="1">
      <alignment shrinkToFit="0" wrapText="1"/>
    </xf>
    <xf borderId="51" fillId="0" fontId="1" numFmtId="0" xfId="0" applyAlignment="1" applyBorder="1" applyFont="1">
      <alignment shrinkToFit="0" wrapText="1"/>
    </xf>
    <xf borderId="53" fillId="0" fontId="1" numFmtId="0" xfId="0" applyAlignment="1" applyBorder="1" applyFont="1">
      <alignment horizontal="center"/>
    </xf>
    <xf borderId="6" fillId="0" fontId="1" numFmtId="0" xfId="0" applyAlignment="1" applyBorder="1" applyFont="1">
      <alignment shrinkToFit="0" wrapText="1"/>
    </xf>
    <xf borderId="53" fillId="0" fontId="1" numFmtId="0" xfId="0" applyAlignment="1" applyBorder="1" applyFont="1">
      <alignment shrinkToFit="0" wrapText="1"/>
    </xf>
    <xf borderId="63" fillId="0" fontId="1" numFmtId="0" xfId="0" applyAlignment="1" applyBorder="1" applyFont="1">
      <alignment shrinkToFit="0" wrapText="1"/>
    </xf>
    <xf borderId="54" fillId="0" fontId="1" numFmtId="0" xfId="0" applyAlignment="1" applyBorder="1" applyFont="1">
      <alignment shrinkToFit="0" wrapText="1"/>
    </xf>
    <xf borderId="66" fillId="0" fontId="1" numFmtId="0" xfId="0" applyAlignment="1" applyBorder="1" applyFont="1">
      <alignment shrinkToFit="0" wrapText="1"/>
    </xf>
    <xf borderId="68" fillId="0" fontId="1" numFmtId="0" xfId="0" applyAlignment="1" applyBorder="1" applyFont="1">
      <alignment shrinkToFit="0" wrapText="1"/>
    </xf>
    <xf borderId="55" fillId="0" fontId="1" numFmtId="0" xfId="0" applyAlignment="1" applyBorder="1" applyFont="1">
      <alignment shrinkToFit="0" wrapText="1"/>
    </xf>
    <xf borderId="51" fillId="0" fontId="1" numFmtId="0" xfId="0" applyAlignment="1" applyBorder="1" applyFont="1">
      <alignment horizontal="center" readingOrder="0"/>
    </xf>
    <xf borderId="49" fillId="0" fontId="1" numFmtId="0" xfId="0" applyAlignment="1" applyBorder="1" applyFont="1">
      <alignment horizontal="center" readingOrder="0" shrinkToFit="0" wrapText="1"/>
    </xf>
    <xf borderId="67" fillId="0" fontId="1" numFmtId="0" xfId="0" applyAlignment="1" applyBorder="1" applyFont="1">
      <alignment readingOrder="0" shrinkToFit="0" wrapText="1"/>
    </xf>
    <xf borderId="58" fillId="0" fontId="1" numFmtId="0" xfId="0" applyAlignment="1" applyBorder="1" applyFont="1">
      <alignment readingOrder="0" shrinkToFit="0" wrapText="1"/>
    </xf>
    <xf borderId="59" fillId="0" fontId="1" numFmtId="0" xfId="0" applyAlignment="1" applyBorder="1" applyFont="1">
      <alignment readingOrder="0" shrinkToFit="0" wrapText="1"/>
    </xf>
    <xf borderId="9" fillId="0" fontId="1" numFmtId="0" xfId="0" applyAlignment="1" applyBorder="1" applyFont="1">
      <alignment readingOrder="0" shrinkToFit="0" wrapText="1"/>
    </xf>
    <xf borderId="51" fillId="0" fontId="1" numFmtId="0" xfId="0" applyAlignment="1" applyBorder="1" applyFont="1">
      <alignment readingOrder="0" shrinkToFit="0" wrapText="1"/>
    </xf>
    <xf borderId="11" fillId="0" fontId="1" numFmtId="0" xfId="0" applyAlignment="1" applyBorder="1" applyFont="1">
      <alignment horizontal="center" readingOrder="0" shrinkToFit="0" wrapText="1"/>
    </xf>
    <xf borderId="7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53" fillId="0" fontId="1" numFmtId="0" xfId="0" applyAlignment="1" applyBorder="1" applyFont="1">
      <alignment readingOrder="0" shrinkToFit="0" wrapText="1"/>
    </xf>
    <xf borderId="54" fillId="0" fontId="1" numFmtId="0" xfId="0" applyAlignment="1" applyBorder="1" applyFont="1">
      <alignment horizontal="center" readingOrder="0"/>
    </xf>
    <xf borderId="44" fillId="0" fontId="1" numFmtId="0" xfId="0" applyAlignment="1" applyBorder="1" applyFont="1">
      <alignment horizontal="center" readingOrder="0" shrinkToFit="0" wrapText="1"/>
    </xf>
    <xf borderId="62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16" fillId="0" fontId="1" numFmtId="0" xfId="0" applyAlignment="1" applyBorder="1" applyFont="1">
      <alignment readingOrder="0" shrinkToFit="0" wrapText="1"/>
    </xf>
    <xf borderId="63" fillId="0" fontId="1" numFmtId="0" xfId="0" applyAlignment="1" applyBorder="1" applyFont="1">
      <alignment readingOrder="0" shrinkToFit="0" wrapText="1"/>
    </xf>
    <xf borderId="54" fillId="0" fontId="1" numFmtId="0" xfId="0" applyAlignment="1" applyBorder="1" applyFont="1">
      <alignment readingOrder="0" shrinkToFit="0" wrapText="1"/>
    </xf>
    <xf borderId="55" fillId="0" fontId="1" numFmtId="0" xfId="0" applyAlignment="1" applyBorder="1" applyFont="1">
      <alignment horizontal="center" readingOrder="0"/>
    </xf>
    <xf borderId="20" fillId="0" fontId="1" numFmtId="0" xfId="0" applyAlignment="1" applyBorder="1" applyFont="1">
      <alignment horizontal="center" readingOrder="0" shrinkToFit="0" wrapText="1"/>
    </xf>
    <xf borderId="65" fillId="0" fontId="1" numFmtId="0" xfId="0" applyAlignment="1" applyBorder="1" applyFont="1">
      <alignment readingOrder="0" shrinkToFit="0" wrapText="1"/>
    </xf>
    <xf borderId="21" fillId="0" fontId="1" numFmtId="0" xfId="0" applyAlignment="1" applyBorder="1" applyFont="1">
      <alignment readingOrder="0" shrinkToFit="0" wrapText="1"/>
    </xf>
    <xf borderId="23" fillId="0" fontId="1" numFmtId="0" xfId="0" applyAlignment="1" applyBorder="1" applyFont="1">
      <alignment readingOrder="0" shrinkToFit="0" wrapText="1"/>
    </xf>
    <xf borderId="66" fillId="0" fontId="1" numFmtId="0" xfId="0" applyAlignment="1" applyBorder="1" applyFont="1">
      <alignment readingOrder="0" shrinkToFit="0" wrapText="1"/>
    </xf>
    <xf borderId="55" fillId="0" fontId="1" numFmtId="0" xfId="0" applyAlignment="1" applyBorder="1" applyFont="1">
      <alignment readingOrder="0" shrinkToFit="0" wrapText="1"/>
    </xf>
    <xf borderId="67" fillId="29" fontId="1" numFmtId="0" xfId="0" applyAlignment="1" applyBorder="1" applyFont="1">
      <alignment horizontal="center" readingOrder="0" shrinkToFit="0" wrapText="1"/>
    </xf>
    <xf borderId="10" fillId="0" fontId="1" numFmtId="0" xfId="0" applyAlignment="1" applyBorder="1" applyFont="1">
      <alignment shrinkToFit="0" wrapText="1"/>
    </xf>
    <xf borderId="7" fillId="29" fontId="1" numFmtId="0" xfId="0" applyAlignment="1" applyBorder="1" applyFont="1">
      <alignment horizontal="center" readingOrder="0" shrinkToFit="0" wrapText="1"/>
    </xf>
    <xf borderId="62" fillId="29" fontId="1" numFmtId="0" xfId="0" applyAlignment="1" applyBorder="1" applyFont="1">
      <alignment horizontal="center" readingOrder="0" shrinkToFit="0" wrapText="1"/>
    </xf>
    <xf borderId="65" fillId="29" fontId="1" numFmtId="0" xfId="0" applyAlignment="1" applyBorder="1" applyFont="1">
      <alignment horizontal="center" readingOrder="0" shrinkToFit="0" wrapText="1"/>
    </xf>
    <xf borderId="38" fillId="29" fontId="1" numFmtId="0" xfId="0" applyAlignment="1" applyBorder="1" applyFont="1">
      <alignment horizontal="center" readingOrder="0" shrinkToFit="0" wrapText="1"/>
    </xf>
    <xf borderId="60" fillId="0" fontId="1" numFmtId="0" xfId="0" applyAlignment="1" applyBorder="1" applyFont="1">
      <alignment horizontal="center" readingOrder="0" shrinkToFit="0" wrapText="1"/>
    </xf>
    <xf borderId="12" fillId="0" fontId="1" numFmtId="0" xfId="0" applyAlignment="1" applyBorder="1" applyFont="1">
      <alignment horizontal="center" readingOrder="0" shrinkToFit="0" wrapText="1"/>
    </xf>
    <xf borderId="15" fillId="0" fontId="1" numFmtId="0" xfId="0" applyAlignment="1" applyBorder="1" applyFont="1">
      <alignment horizontal="center" readingOrder="0" shrinkToFit="0" wrapText="1"/>
    </xf>
    <xf borderId="22" fillId="0" fontId="1" numFmtId="0" xfId="0" applyAlignment="1" applyBorder="1" applyFont="1">
      <alignment horizontal="center" readingOrder="0" shrinkToFit="0" wrapText="1"/>
    </xf>
    <xf borderId="30" fillId="2" fontId="1" numFmtId="0" xfId="0" applyAlignment="1" applyBorder="1" applyFont="1">
      <alignment horizontal="center" readingOrder="0"/>
    </xf>
    <xf borderId="32" fillId="6" fontId="57" numFmtId="0" xfId="0" applyAlignment="1" applyBorder="1" applyFont="1">
      <alignment horizontal="center" readingOrder="0" vertical="center"/>
    </xf>
    <xf borderId="30" fillId="3" fontId="57" numFmtId="0" xfId="0" applyAlignment="1" applyBorder="1" applyFont="1">
      <alignment horizontal="center" readingOrder="0" vertical="center"/>
    </xf>
    <xf borderId="60" fillId="0" fontId="1" numFmtId="0" xfId="0" applyBorder="1" applyFont="1"/>
    <xf borderId="12" fillId="0" fontId="1" numFmtId="0" xfId="0" applyBorder="1" applyFont="1"/>
    <xf borderId="22" fillId="0" fontId="1" numFmtId="0" xfId="0" applyBorder="1" applyFont="1"/>
    <xf borderId="22" fillId="0" fontId="1" numFmtId="0" xfId="0" applyAlignment="1" applyBorder="1" applyFont="1">
      <alignment horizontal="center" readingOrder="0"/>
    </xf>
    <xf borderId="67" fillId="0" fontId="1" numFmtId="0" xfId="0" applyAlignment="1" applyBorder="1" applyFont="1">
      <alignment readingOrder="0"/>
    </xf>
    <xf borderId="12" fillId="29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readingOrder="0"/>
    </xf>
    <xf borderId="62" fillId="0" fontId="1" numFmtId="0" xfId="0" applyAlignment="1" applyBorder="1" applyFont="1">
      <alignment readingOrder="0"/>
    </xf>
    <xf borderId="22" fillId="29" fontId="1" numFmtId="0" xfId="0" applyAlignment="1" applyBorder="1" applyFont="1">
      <alignment horizontal="center" readingOrder="0"/>
    </xf>
    <xf borderId="65" fillId="0" fontId="1" numFmtId="0" xfId="0" applyAlignment="1" applyBorder="1" applyFont="1">
      <alignment readingOrder="0"/>
    </xf>
    <xf borderId="27" fillId="0" fontId="1" numFmtId="0" xfId="0" applyBorder="1" applyFont="1"/>
    <xf borderId="7" fillId="0" fontId="1" numFmtId="0" xfId="0" applyBorder="1" applyFont="1"/>
    <xf borderId="62" fillId="0" fontId="1" numFmtId="0" xfId="0" applyBorder="1" applyFont="1"/>
    <xf borderId="65" fillId="0" fontId="1" numFmtId="0" xfId="0" applyBorder="1" applyFont="1"/>
    <xf borderId="60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22" fillId="0" fontId="1" numFmtId="0" xfId="0" applyAlignment="1" applyBorder="1" applyFont="1">
      <alignment readingOrder="0"/>
    </xf>
    <xf borderId="4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20" fillId="0" fontId="1" numFmtId="0" xfId="0" applyAlignment="1" applyBorder="1" applyFont="1">
      <alignment horizontal="center" readingOrder="0"/>
    </xf>
    <xf borderId="67" fillId="0" fontId="1" numFmtId="0" xfId="0" applyBorder="1" applyFont="1"/>
    <xf borderId="49" fillId="0" fontId="1" numFmtId="0" xfId="0" applyAlignment="1" applyBorder="1" applyFont="1">
      <alignment horizontal="center" readingOrder="0"/>
    </xf>
    <xf borderId="22" fillId="34" fontId="57" numFmtId="0" xfId="0" applyAlignment="1" applyBorder="1" applyFont="1">
      <alignment horizontal="center" readingOrder="0" vertical="center"/>
    </xf>
    <xf borderId="54" fillId="34" fontId="57" numFmtId="0" xfId="0" applyAlignment="1" applyBorder="1" applyFont="1">
      <alignment horizontal="center" readingOrder="0" vertical="center"/>
    </xf>
    <xf borderId="55" fillId="34" fontId="57" numFmtId="0" xfId="0" applyAlignment="1" applyBorder="1" applyFont="1">
      <alignment horizontal="center" readingOrder="0" vertical="center"/>
    </xf>
    <xf borderId="20" fillId="34" fontId="57" numFmtId="0" xfId="0" applyAlignment="1" applyBorder="1" applyFont="1">
      <alignment horizontal="center" readingOrder="0" vertical="center"/>
    </xf>
    <xf borderId="18" fillId="29" fontId="1" numFmtId="0" xfId="0" applyAlignment="1" applyBorder="1" applyFont="1">
      <alignment readingOrder="0"/>
    </xf>
    <xf borderId="51" fillId="29" fontId="1" numFmtId="0" xfId="0" applyAlignment="1" applyBorder="1" applyFont="1">
      <alignment readingOrder="0"/>
    </xf>
    <xf borderId="5" fillId="29" fontId="1" numFmtId="0" xfId="0" applyAlignment="1" applyBorder="1" applyFont="1">
      <alignment horizontal="center" readingOrder="0"/>
    </xf>
    <xf borderId="16" fillId="29" fontId="1" numFmtId="0" xfId="0" applyAlignment="1" applyBorder="1" applyFont="1">
      <alignment horizontal="center" readingOrder="0"/>
    </xf>
    <xf borderId="58" fillId="0" fontId="1" numFmtId="0" xfId="0" applyAlignment="1" applyBorder="1" applyFont="1">
      <alignment readingOrder="0"/>
    </xf>
    <xf borderId="52" fillId="0" fontId="1" numFmtId="0" xfId="0" applyAlignment="1" applyBorder="1" applyFont="1">
      <alignment horizontal="center" readingOrder="0"/>
    </xf>
    <xf borderId="21" fillId="0" fontId="1" numFmtId="0" xfId="0" applyAlignment="1" applyBorder="1" applyFont="1">
      <alignment readingOrder="0"/>
    </xf>
    <xf borderId="4" fillId="0" fontId="1" numFmtId="0" xfId="0" applyBorder="1" applyFont="1"/>
    <xf borderId="1" fillId="0" fontId="1" numFmtId="0" xfId="0" applyBorder="1" applyFont="1"/>
    <xf borderId="2" fillId="0" fontId="1" numFmtId="0" xfId="0" applyBorder="1" applyFont="1"/>
    <xf borderId="21" fillId="0" fontId="1" numFmtId="0" xfId="0" applyBorder="1" applyFont="1"/>
    <xf borderId="60" fillId="0" fontId="1" numFmtId="0" xfId="0" applyAlignment="1" applyBorder="1" applyFont="1">
      <alignment horizontal="center" readingOrder="0"/>
    </xf>
    <xf borderId="58" fillId="0" fontId="1" numFmtId="0" xfId="0" applyBorder="1" applyFont="1"/>
    <xf borderId="38" fillId="0" fontId="1" numFmtId="0" xfId="0" applyAlignment="1" applyBorder="1" applyFont="1">
      <alignment horizontal="center" readingOrder="0"/>
    </xf>
    <xf borderId="38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44" fillId="0" fontId="1" numFmtId="0" xfId="0" applyAlignment="1" applyBorder="1" applyFont="1">
      <alignment horizontal="center"/>
    </xf>
    <xf borderId="20" fillId="0" fontId="1" numFmtId="0" xfId="0" applyAlignment="1" applyBorder="1" applyFont="1">
      <alignment horizontal="center"/>
    </xf>
    <xf borderId="49" fillId="0" fontId="1" numFmtId="0" xfId="0" applyAlignment="1" applyBorder="1" applyFont="1">
      <alignment horizontal="center"/>
    </xf>
    <xf borderId="8" fillId="2" fontId="8" numFmtId="0" xfId="0" applyAlignment="1" applyBorder="1" applyFont="1">
      <alignment horizontal="center" readingOrder="0" vertical="center"/>
    </xf>
    <xf borderId="8" fillId="6" fontId="8" numFmtId="0" xfId="0" applyAlignment="1" applyBorder="1" applyFont="1">
      <alignment horizontal="center" readingOrder="0" vertical="center"/>
    </xf>
    <xf borderId="37" fillId="0" fontId="1" numFmtId="0" xfId="0" applyAlignment="1" applyBorder="1" applyFont="1">
      <alignment horizontal="center" readingOrder="0"/>
    </xf>
    <xf borderId="19" fillId="0" fontId="5" numFmtId="0" xfId="0" applyBorder="1" applyFont="1"/>
    <xf borderId="22" fillId="26" fontId="2" numFmtId="0" xfId="0" applyAlignment="1" applyBorder="1" applyFont="1">
      <alignment horizontal="center" readingOrder="0"/>
    </xf>
    <xf borderId="20" fillId="26" fontId="1" numFmtId="4" xfId="0" applyBorder="1" applyFont="1" applyNumberFormat="1"/>
    <xf borderId="15" fillId="26" fontId="2" numFmtId="4" xfId="0" applyBorder="1" applyFont="1" applyNumberFormat="1"/>
    <xf borderId="5" fillId="3" fontId="8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right" readingOrder="0" vertical="center"/>
    </xf>
    <xf borderId="16" fillId="2" fontId="8" numFmtId="0" xfId="0" applyAlignment="1" applyBorder="1" applyFont="1">
      <alignment horizontal="center" readingOrder="0" vertical="center"/>
    </xf>
    <xf borderId="62" fillId="0" fontId="5" numFmtId="0" xfId="0" applyBorder="1" applyFont="1"/>
    <xf borderId="16" fillId="6" fontId="8" numFmtId="0" xfId="0" applyAlignment="1" applyBorder="1" applyFont="1">
      <alignment horizontal="center" readingOrder="0" vertical="center"/>
    </xf>
    <xf borderId="58" fillId="2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58" fillId="19" fontId="1" numFmtId="0" xfId="0" applyBorder="1" applyFont="1"/>
    <xf borderId="1" fillId="19" fontId="1" numFmtId="0" xfId="0" applyBorder="1" applyFont="1"/>
    <xf borderId="21" fillId="19" fontId="1" numFmtId="0" xfId="0" applyBorder="1" applyFont="1"/>
    <xf borderId="60" fillId="2" fontId="1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22" fillId="2" fontId="1" numFmtId="0" xfId="0" applyAlignment="1" applyBorder="1" applyFont="1">
      <alignment readingOrder="0"/>
    </xf>
    <xf borderId="0" fillId="6" fontId="59" numFmtId="0" xfId="0" applyAlignment="1" applyFont="1">
      <alignment horizontal="center" vertical="bottom"/>
    </xf>
    <xf borderId="25" fillId="0" fontId="1" numFmtId="0" xfId="0" applyAlignment="1" applyBorder="1" applyFont="1">
      <alignment shrinkToFit="0" vertical="bottom" wrapText="0"/>
    </xf>
    <xf borderId="27" fillId="4" fontId="21" numFmtId="3" xfId="0" applyAlignment="1" applyBorder="1" applyFont="1" applyNumberFormat="1">
      <alignment horizontal="right"/>
    </xf>
    <xf borderId="0" fillId="13" fontId="22" numFmtId="3" xfId="0" applyAlignment="1" applyFont="1" applyNumberFormat="1">
      <alignment horizontal="right" vertical="bottom"/>
    </xf>
    <xf borderId="0" fillId="0" fontId="1" numFmtId="0" xfId="0" applyAlignment="1" applyFont="1">
      <alignment shrinkToFit="0" vertical="bottom" wrapText="0"/>
    </xf>
    <xf borderId="0" fillId="2" fontId="10" numFmtId="3" xfId="0" applyAlignment="1" applyFont="1" applyNumberFormat="1">
      <alignment horizontal="right" vertical="bottom"/>
    </xf>
    <xf borderId="5" fillId="0" fontId="1" numFmtId="0" xfId="0" applyAlignment="1" applyBorder="1" applyFont="1">
      <alignment horizontal="left" readingOrder="0"/>
    </xf>
    <xf borderId="1" fillId="0" fontId="1" numFmtId="2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1" fillId="6" fontId="2" numFmtId="3" xfId="0" applyBorder="1" applyFont="1" applyNumberFormat="1"/>
    <xf borderId="1" fillId="0" fontId="1" numFmtId="4" xfId="0" applyBorder="1" applyFont="1" applyNumberFormat="1"/>
    <xf borderId="1" fillId="6" fontId="2" numFmtId="4" xfId="0" applyAlignment="1" applyBorder="1" applyFont="1" applyNumberFormat="1">
      <alignment readingOrder="0"/>
    </xf>
    <xf borderId="1" fillId="0" fontId="2" numFmtId="4" xfId="0" applyBorder="1" applyFont="1" applyNumberFormat="1"/>
    <xf borderId="0" fillId="0" fontId="1" numFmtId="0" xfId="0" applyAlignment="1" applyFont="1">
      <alignment horizontal="center" vertical="bottom"/>
    </xf>
    <xf borderId="0" fillId="0" fontId="60" numFmtId="164" xfId="0" applyAlignment="1" applyFont="1" applyNumberFormat="1">
      <alignment vertical="bottom"/>
    </xf>
    <xf borderId="0" fillId="0" fontId="60" numFmtId="164" xfId="0" applyFont="1" applyNumberFormat="1"/>
    <xf borderId="0" fillId="0" fontId="61" numFmtId="0" xfId="0" applyFont="1"/>
    <xf borderId="0" fillId="0" fontId="37" numFmtId="164" xfId="0" applyAlignment="1" applyFont="1" applyNumberFormat="1">
      <alignment vertical="center"/>
    </xf>
    <xf borderId="0" fillId="0" fontId="37" numFmtId="165" xfId="0" applyAlignment="1" applyFont="1" applyNumberFormat="1">
      <alignment vertical="center"/>
    </xf>
    <xf borderId="0" fillId="0" fontId="32" numFmtId="164" xfId="0" applyAlignment="1" applyFont="1" applyNumberFormat="1">
      <alignment vertical="center"/>
    </xf>
    <xf borderId="0" fillId="0" fontId="32" numFmtId="165" xfId="0" applyAlignment="1" applyFont="1" applyNumberFormat="1">
      <alignment vertical="center"/>
    </xf>
    <xf borderId="45" fillId="34" fontId="46" numFmtId="0" xfId="0" applyAlignment="1" applyBorder="1" applyFont="1">
      <alignment horizontal="center" vertical="center"/>
    </xf>
    <xf borderId="25" fillId="0" fontId="32" numFmtId="165" xfId="0" applyAlignment="1" applyBorder="1" applyFont="1" applyNumberFormat="1">
      <alignment vertical="center"/>
    </xf>
    <xf borderId="26" fillId="0" fontId="32" numFmtId="164" xfId="0" applyAlignment="1" applyBorder="1" applyFont="1" applyNumberFormat="1">
      <alignment vertical="center"/>
    </xf>
    <xf borderId="27" fillId="0" fontId="32" numFmtId="165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2066925</xdr:colOff>
      <xdr:row>0</xdr:row>
      <xdr:rowOff>28575</xdr:rowOff>
    </xdr:from>
    <xdr:ext cx="6734175" cy="13335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0</xdr:row>
      <xdr:rowOff>114300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61</xdr:row>
      <xdr:rowOff>76200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0</xdr:row>
      <xdr:rowOff>114300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59</xdr:row>
      <xdr:rowOff>76200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5</xdr:row>
      <xdr:rowOff>142875</xdr:rowOff>
    </xdr:from>
    <xdr:ext cx="9429750" cy="28575"/>
    <xdr:grpSp>
      <xdr:nvGrpSpPr>
        <xdr:cNvPr id="2" name="Shape 2" title="Drawing"/>
        <xdr:cNvGrpSpPr/>
      </xdr:nvGrpSpPr>
      <xdr:grpSpPr>
        <a:xfrm>
          <a:off x="159638" y="3770475"/>
          <a:ext cx="9410100" cy="8700"/>
          <a:chOff x="159638" y="3770475"/>
          <a:chExt cx="9410100" cy="8700"/>
        </a:xfrm>
      </xdr:grpSpPr>
      <xdr:cxnSp>
        <xdr:nvCxnSpPr>
          <xdr:cNvPr id="3" name="Shape 3"/>
          <xdr:cNvCxnSpPr/>
        </xdr:nvCxnSpPr>
        <xdr:spPr>
          <a:xfrm>
            <a:off x="159638" y="3770475"/>
            <a:ext cx="9410100" cy="8700"/>
          </a:xfrm>
          <a:prstGeom prst="straightConnector1">
            <a:avLst/>
          </a:prstGeom>
          <a:noFill/>
          <a:ln cap="flat" cmpd="sng" w="38100">
            <a:solidFill>
              <a:srgbClr val="F5913F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1152525</xdr:colOff>
      <xdr:row>0</xdr:row>
      <xdr:rowOff>142875</xdr:rowOff>
    </xdr:from>
    <xdr:ext cx="1495425" cy="1143000"/>
    <xdr:pic>
      <xdr:nvPicPr>
        <xdr:cNvPr descr="ICL.jpg"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5</xdr:row>
      <xdr:rowOff>142875</xdr:rowOff>
    </xdr:from>
    <xdr:ext cx="9429750" cy="28575"/>
    <xdr:grpSp>
      <xdr:nvGrpSpPr>
        <xdr:cNvPr id="2" name="Shape 2" title="Drawing"/>
        <xdr:cNvGrpSpPr/>
      </xdr:nvGrpSpPr>
      <xdr:grpSpPr>
        <a:xfrm>
          <a:off x="159638" y="3770475"/>
          <a:ext cx="9410100" cy="8700"/>
          <a:chOff x="159638" y="3770475"/>
          <a:chExt cx="9410100" cy="8700"/>
        </a:xfrm>
      </xdr:grpSpPr>
      <xdr:cxnSp>
        <xdr:nvCxnSpPr>
          <xdr:cNvPr id="3" name="Shape 3"/>
          <xdr:cNvCxnSpPr/>
        </xdr:nvCxnSpPr>
        <xdr:spPr>
          <a:xfrm>
            <a:off x="159638" y="3770475"/>
            <a:ext cx="9410100" cy="8700"/>
          </a:xfrm>
          <a:prstGeom prst="straightConnector1">
            <a:avLst/>
          </a:prstGeom>
          <a:noFill/>
          <a:ln cap="flat" cmpd="sng" w="38100">
            <a:solidFill>
              <a:srgbClr val="F5913F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1152525</xdr:colOff>
      <xdr:row>0</xdr:row>
      <xdr:rowOff>142875</xdr:rowOff>
    </xdr:from>
    <xdr:ext cx="1495425" cy="1143000"/>
    <xdr:pic>
      <xdr:nvPicPr>
        <xdr:cNvPr descr="ICL.jpg" id="0" name="image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0</xdr:row>
      <xdr:rowOff>95250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66</xdr:row>
      <xdr:rowOff>114300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0</xdr:row>
      <xdr:rowOff>114300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59</xdr:row>
      <xdr:rowOff>76200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0</xdr:row>
      <xdr:rowOff>85725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1085850</xdr:colOff>
      <xdr:row>71</xdr:row>
      <xdr:rowOff>161925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1371600</xdr:colOff>
      <xdr:row>0</xdr:row>
      <xdr:rowOff>114300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0</xdr:row>
      <xdr:rowOff>85725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1085850</xdr:colOff>
      <xdr:row>71</xdr:row>
      <xdr:rowOff>161925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1371600</xdr:colOff>
      <xdr:row>0</xdr:row>
      <xdr:rowOff>114300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0</xdr:row>
      <xdr:rowOff>85725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0</xdr:row>
      <xdr:rowOff>85725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0</xdr:row>
      <xdr:rowOff>85725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771525</xdr:colOff>
      <xdr:row>0</xdr:row>
      <xdr:rowOff>85725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0</xdr:row>
      <xdr:rowOff>114300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59</xdr:row>
      <xdr:rowOff>76200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676275</xdr:colOff>
      <xdr:row>0</xdr:row>
      <xdr:rowOff>114300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495300</xdr:colOff>
      <xdr:row>59</xdr:row>
      <xdr:rowOff>76200</xdr:rowOff>
    </xdr:from>
    <xdr:ext cx="6600825" cy="8858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180975</xdr:rowOff>
    </xdr:from>
    <xdr:ext cx="6105525" cy="13049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828675</xdr:colOff>
      <xdr:row>46</xdr:row>
      <xdr:rowOff>180975</xdr:rowOff>
    </xdr:from>
    <xdr:ext cx="5238750" cy="1409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0</xdr:row>
      <xdr:rowOff>180975</xdr:rowOff>
    </xdr:from>
    <xdr:ext cx="6105525" cy="13049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790575</xdr:colOff>
      <xdr:row>46</xdr:row>
      <xdr:rowOff>47625</xdr:rowOff>
    </xdr:from>
    <xdr:ext cx="5238750" cy="1409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4</xdr:row>
      <xdr:rowOff>142875</xdr:rowOff>
    </xdr:from>
    <xdr:ext cx="9763125" cy="38100"/>
    <xdr:grpSp>
      <xdr:nvGrpSpPr>
        <xdr:cNvPr id="2" name="Shape 2"/>
        <xdr:cNvGrpSpPr/>
      </xdr:nvGrpSpPr>
      <xdr:grpSpPr>
        <a:xfrm>
          <a:off x="464438" y="3770475"/>
          <a:ext cx="9763125" cy="19050"/>
          <a:chOff x="464438" y="3770475"/>
          <a:chExt cx="9763125" cy="19050"/>
        </a:xfrm>
      </xdr:grpSpPr>
      <xdr:cxnSp>
        <xdr:nvCxnSpPr>
          <xdr:cNvPr id="4" name="Shape 4"/>
          <xdr:cNvCxnSpPr/>
        </xdr:nvCxnSpPr>
        <xdr:spPr>
          <a:xfrm>
            <a:off x="464438" y="3770475"/>
            <a:ext cx="9763125" cy="19050"/>
          </a:xfrm>
          <a:prstGeom prst="straightConnector1">
            <a:avLst/>
          </a:prstGeom>
          <a:noFill/>
          <a:ln cap="flat" cmpd="sng" w="38100">
            <a:solidFill>
              <a:srgbClr val="F5913F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447675</xdr:colOff>
      <xdr:row>0</xdr:row>
      <xdr:rowOff>0</xdr:rowOff>
    </xdr:from>
    <xdr:ext cx="1295400" cy="990600"/>
    <xdr:pic>
      <xdr:nvPicPr>
        <xdr:cNvPr descr="ICL.jpg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2" max="2" width="70.86"/>
  </cols>
  <sheetData>
    <row r="2">
      <c r="A2" s="1"/>
      <c r="B2" s="2" t="s">
        <v>0</v>
      </c>
    </row>
    <row r="3">
      <c r="A3" s="1">
        <v>1.0</v>
      </c>
      <c r="B3" s="3" t="s">
        <v>1</v>
      </c>
    </row>
    <row r="5">
      <c r="A5" s="1">
        <v>2.0</v>
      </c>
      <c r="B5" s="3" t="s">
        <v>2</v>
      </c>
    </row>
    <row r="7">
      <c r="A7" s="1"/>
      <c r="B7" s="4" t="s">
        <v>3</v>
      </c>
    </row>
    <row r="8">
      <c r="A8" s="1">
        <v>3.0</v>
      </c>
      <c r="B8" s="3" t="s">
        <v>4</v>
      </c>
    </row>
    <row r="10">
      <c r="A10" s="1">
        <v>4.0</v>
      </c>
      <c r="B10" s="3" t="s">
        <v>5</v>
      </c>
    </row>
    <row r="12">
      <c r="B12" s="1" t="s">
        <v>6</v>
      </c>
    </row>
    <row r="13">
      <c r="B13" s="3" t="s">
        <v>7</v>
      </c>
    </row>
    <row r="14">
      <c r="B14" s="3" t="s">
        <v>8</v>
      </c>
    </row>
    <row r="15">
      <c r="B15" s="3" t="s">
        <v>9</v>
      </c>
    </row>
    <row r="16">
      <c r="B16" s="3" t="s">
        <v>10</v>
      </c>
    </row>
    <row r="18">
      <c r="B18" s="3" t="s">
        <v>11</v>
      </c>
    </row>
    <row r="19">
      <c r="B19" s="3" t="s">
        <v>12</v>
      </c>
    </row>
  </sheetData>
  <hyperlinks>
    <hyperlink display="สรุปตารางราคาตู้ปก" location="Ptable!A1" ref="B3"/>
    <hyperlink display="ต้นทุนลำใยสอยดาว-ตู้บก-ทุกด่าน" location="C1!A1" ref="B5"/>
    <hyperlink display="เรือ (สอยดาว) -เปรียบเทียบทุกท่า" location="SD-P ลำใย!A1" ref="B8"/>
    <hyperlink display="เรือ (เหนือ) -เปรียบเทียบทุกท่า" location="N-P!A1" ref="B10"/>
    <hyperlink display="ตารางเรือ- QINZHOU" location="SCe-QZ!A1" ref="B13"/>
    <hyperlink display="ตารางเรือ- HK" location="SCe- HK!A1" ref="B14"/>
    <hyperlink display="ตารางเรือ- SHE KOU" location="SCe-QZ!A1" ref="B15"/>
    <hyperlink display="ตารางเรือ- QING DAO" location="SCe-QD!A1" ref="B16"/>
    <hyperlink display="Quotation  งานบก" location="QTL-P1!A1" ref="B18"/>
    <hyperlink display="Quotation  งานเรือ  LCB - Qinzhou" location="QTS-XDY!A1" ref="B19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5.14"/>
    <col customWidth="1" min="2" max="2" width="26.43"/>
    <col customWidth="1" min="3" max="3" width="24.71"/>
    <col customWidth="1" min="4" max="10" width="18.0"/>
    <col customWidth="1" min="11" max="11" width="19.57"/>
    <col customWidth="1" min="12" max="12" width="48.29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>
      <c r="A2" s="6"/>
      <c r="B2" s="6" t="s">
        <v>13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>
      <c r="A4" s="6"/>
      <c r="B4" s="8" t="s">
        <v>14</v>
      </c>
      <c r="C4" s="8" t="s">
        <v>15</v>
      </c>
      <c r="D4" s="8" t="s">
        <v>16</v>
      </c>
      <c r="E4" s="8" t="s">
        <v>17</v>
      </c>
      <c r="F4" s="9" t="s">
        <v>18</v>
      </c>
      <c r="G4" s="8" t="s">
        <v>19</v>
      </c>
      <c r="H4" s="9" t="s">
        <v>20</v>
      </c>
      <c r="I4" s="10" t="s">
        <v>21</v>
      </c>
      <c r="J4" s="10" t="s">
        <v>22</v>
      </c>
      <c r="K4" s="11" t="s">
        <v>23</v>
      </c>
      <c r="L4" s="7" t="s">
        <v>24</v>
      </c>
    </row>
    <row r="5">
      <c r="A5" s="6"/>
      <c r="B5" s="12" t="s">
        <v>25</v>
      </c>
      <c r="C5" s="13" t="s">
        <v>26</v>
      </c>
      <c r="D5" s="14">
        <v>140000.0</v>
      </c>
      <c r="E5" s="15">
        <v>20000.0</v>
      </c>
      <c r="F5" s="16"/>
      <c r="G5" s="16">
        <v>0.0</v>
      </c>
      <c r="H5" s="16">
        <f t="shared" ref="H5:H7" si="1">SUM(D5:G5)</f>
        <v>160000</v>
      </c>
      <c r="I5" s="16"/>
      <c r="J5" s="16"/>
      <c r="K5" s="17">
        <f t="shared" ref="K5:K7" si="2">H5+I5+J5</f>
        <v>160000</v>
      </c>
      <c r="L5" s="18" t="s">
        <v>27</v>
      </c>
    </row>
    <row r="6">
      <c r="A6" s="6"/>
      <c r="B6" s="19"/>
      <c r="C6" s="20" t="s">
        <v>28</v>
      </c>
      <c r="D6" s="14">
        <v>140000.0</v>
      </c>
      <c r="E6" s="15">
        <v>20000.0</v>
      </c>
      <c r="F6" s="16">
        <v>18500.0</v>
      </c>
      <c r="G6" s="16">
        <v>18000.0</v>
      </c>
      <c r="H6" s="17">
        <f t="shared" si="1"/>
        <v>196500</v>
      </c>
      <c r="I6" s="16"/>
      <c r="J6" s="17">
        <v>-11500.0</v>
      </c>
      <c r="K6" s="17">
        <f t="shared" si="2"/>
        <v>185000</v>
      </c>
      <c r="L6" s="18" t="s">
        <v>27</v>
      </c>
    </row>
    <row r="7">
      <c r="A7" s="6"/>
      <c r="B7" s="21"/>
      <c r="C7" s="18" t="s">
        <v>29</v>
      </c>
      <c r="D7" s="14">
        <v>140000.0</v>
      </c>
      <c r="E7" s="15">
        <v>20000.0</v>
      </c>
      <c r="F7" s="16">
        <v>28000.0</v>
      </c>
      <c r="G7" s="16">
        <v>15000.0</v>
      </c>
      <c r="H7" s="17">
        <f t="shared" si="1"/>
        <v>203000</v>
      </c>
      <c r="I7" s="16"/>
      <c r="J7" s="17">
        <v>-13000.0</v>
      </c>
      <c r="K7" s="17">
        <f t="shared" si="2"/>
        <v>190000</v>
      </c>
      <c r="L7" s="18" t="s">
        <v>27</v>
      </c>
    </row>
    <row r="8" ht="7.5" customHeight="1">
      <c r="A8" s="6"/>
      <c r="B8" s="22"/>
      <c r="C8" s="22"/>
      <c r="D8" s="23"/>
      <c r="E8" s="24"/>
      <c r="F8" s="25"/>
      <c r="G8" s="26"/>
      <c r="H8" s="25"/>
      <c r="I8" s="25"/>
      <c r="J8" s="25"/>
      <c r="K8" s="26"/>
      <c r="L8" s="27"/>
    </row>
    <row r="9">
      <c r="A9" s="6"/>
      <c r="B9" s="28" t="s">
        <v>30</v>
      </c>
      <c r="C9" s="13" t="s">
        <v>26</v>
      </c>
      <c r="D9" s="14">
        <v>140000.0</v>
      </c>
      <c r="E9" s="15">
        <v>20000.0</v>
      </c>
      <c r="F9" s="29"/>
      <c r="G9" s="30"/>
      <c r="H9" s="29">
        <f t="shared" ref="H9:H20" si="3">SUM(D9:G9)</f>
        <v>160000</v>
      </c>
      <c r="I9" s="16">
        <v>0.0</v>
      </c>
      <c r="J9" s="29"/>
      <c r="K9" s="30">
        <f t="shared" ref="K9:K20" si="4">H9+I9+J9</f>
        <v>160000</v>
      </c>
      <c r="L9" s="31" t="s">
        <v>31</v>
      </c>
      <c r="M9" s="1" t="s">
        <v>32</v>
      </c>
      <c r="N9" s="13" t="s">
        <v>26</v>
      </c>
    </row>
    <row r="10">
      <c r="A10" s="6"/>
      <c r="B10" s="19"/>
      <c r="C10" s="20" t="s">
        <v>28</v>
      </c>
      <c r="D10" s="14">
        <v>140000.0</v>
      </c>
      <c r="E10" s="15">
        <v>20000.0</v>
      </c>
      <c r="F10" s="16">
        <v>18500.0</v>
      </c>
      <c r="G10" s="16"/>
      <c r="H10" s="17">
        <f t="shared" si="3"/>
        <v>178500</v>
      </c>
      <c r="I10" s="16">
        <v>18000.0</v>
      </c>
      <c r="J10" s="17">
        <v>-11500.0</v>
      </c>
      <c r="K10" s="17">
        <f t="shared" si="4"/>
        <v>185000</v>
      </c>
      <c r="L10" s="31" t="s">
        <v>31</v>
      </c>
      <c r="M10" s="1" t="s">
        <v>32</v>
      </c>
      <c r="N10" s="20" t="s">
        <v>28</v>
      </c>
    </row>
    <row r="11">
      <c r="A11" s="6"/>
      <c r="B11" s="21"/>
      <c r="C11" s="18" t="s">
        <v>29</v>
      </c>
      <c r="D11" s="14">
        <v>140000.0</v>
      </c>
      <c r="E11" s="15">
        <v>20000.0</v>
      </c>
      <c r="F11" s="16">
        <v>28000.0</v>
      </c>
      <c r="G11" s="16"/>
      <c r="H11" s="17">
        <f t="shared" si="3"/>
        <v>188000</v>
      </c>
      <c r="I11" s="16">
        <v>15000.0</v>
      </c>
      <c r="J11" s="17">
        <v>-13000.0</v>
      </c>
      <c r="K11" s="17">
        <f t="shared" si="4"/>
        <v>190000</v>
      </c>
      <c r="L11" s="31" t="s">
        <v>31</v>
      </c>
      <c r="M11" s="1" t="s">
        <v>32</v>
      </c>
      <c r="N11" s="18" t="s">
        <v>29</v>
      </c>
    </row>
    <row r="12">
      <c r="A12" s="6"/>
      <c r="B12" s="28" t="s">
        <v>33</v>
      </c>
      <c r="C12" s="13" t="s">
        <v>26</v>
      </c>
      <c r="D12" s="14">
        <v>140000.0</v>
      </c>
      <c r="E12" s="15">
        <v>20000.0</v>
      </c>
      <c r="F12" s="29"/>
      <c r="G12" s="30"/>
      <c r="H12" s="29">
        <f t="shared" si="3"/>
        <v>160000</v>
      </c>
      <c r="I12" s="16">
        <v>0.0</v>
      </c>
      <c r="J12" s="29"/>
      <c r="K12" s="30">
        <f t="shared" si="4"/>
        <v>160000</v>
      </c>
      <c r="L12" s="31" t="s">
        <v>31</v>
      </c>
    </row>
    <row r="13">
      <c r="A13" s="6"/>
      <c r="B13" s="19"/>
      <c r="C13" s="20" t="s">
        <v>28</v>
      </c>
      <c r="D13" s="14">
        <v>140000.0</v>
      </c>
      <c r="E13" s="15">
        <v>20000.0</v>
      </c>
      <c r="F13" s="16">
        <v>18500.0</v>
      </c>
      <c r="G13" s="16"/>
      <c r="H13" s="17">
        <f t="shared" si="3"/>
        <v>178500</v>
      </c>
      <c r="I13" s="16">
        <v>18000.0</v>
      </c>
      <c r="J13" s="17">
        <v>-11500.0</v>
      </c>
      <c r="K13" s="17">
        <f t="shared" si="4"/>
        <v>185000</v>
      </c>
      <c r="L13" s="31" t="s">
        <v>31</v>
      </c>
    </row>
    <row r="14">
      <c r="A14" s="6"/>
      <c r="B14" s="21"/>
      <c r="C14" s="18" t="s">
        <v>29</v>
      </c>
      <c r="D14" s="14">
        <v>140000.0</v>
      </c>
      <c r="E14" s="15">
        <v>20000.0</v>
      </c>
      <c r="F14" s="16">
        <v>28000.0</v>
      </c>
      <c r="G14" s="16"/>
      <c r="H14" s="17">
        <f t="shared" si="3"/>
        <v>188000</v>
      </c>
      <c r="I14" s="16">
        <v>15000.0</v>
      </c>
      <c r="J14" s="17">
        <v>-13000.0</v>
      </c>
      <c r="K14" s="17">
        <f t="shared" si="4"/>
        <v>190000</v>
      </c>
      <c r="L14" s="31" t="s">
        <v>31</v>
      </c>
    </row>
    <row r="15">
      <c r="A15" s="6"/>
      <c r="B15" s="28" t="s">
        <v>34</v>
      </c>
      <c r="C15" s="13" t="s">
        <v>26</v>
      </c>
      <c r="D15" s="14">
        <v>140000.0</v>
      </c>
      <c r="E15" s="15">
        <v>20000.0</v>
      </c>
      <c r="F15" s="29"/>
      <c r="G15" s="30"/>
      <c r="H15" s="29">
        <f t="shared" si="3"/>
        <v>160000</v>
      </c>
      <c r="I15" s="16">
        <v>0.0</v>
      </c>
      <c r="J15" s="29"/>
      <c r="K15" s="30">
        <f t="shared" si="4"/>
        <v>160000</v>
      </c>
      <c r="L15" s="31" t="s">
        <v>31</v>
      </c>
    </row>
    <row r="16">
      <c r="A16" s="6"/>
      <c r="B16" s="19"/>
      <c r="C16" s="20" t="s">
        <v>28</v>
      </c>
      <c r="D16" s="14">
        <v>140000.0</v>
      </c>
      <c r="E16" s="15">
        <v>20000.0</v>
      </c>
      <c r="F16" s="16">
        <v>18500.0</v>
      </c>
      <c r="G16" s="16"/>
      <c r="H16" s="17">
        <f t="shared" si="3"/>
        <v>178500</v>
      </c>
      <c r="I16" s="16">
        <v>18000.0</v>
      </c>
      <c r="J16" s="17">
        <v>-11500.0</v>
      </c>
      <c r="K16" s="17">
        <f t="shared" si="4"/>
        <v>185000</v>
      </c>
      <c r="L16" s="31" t="s">
        <v>31</v>
      </c>
    </row>
    <row r="17">
      <c r="A17" s="6"/>
      <c r="B17" s="21"/>
      <c r="C17" s="18" t="s">
        <v>29</v>
      </c>
      <c r="D17" s="14">
        <v>140000.0</v>
      </c>
      <c r="E17" s="15">
        <v>20000.0</v>
      </c>
      <c r="F17" s="16">
        <v>28000.0</v>
      </c>
      <c r="G17" s="16"/>
      <c r="H17" s="17">
        <f t="shared" si="3"/>
        <v>188000</v>
      </c>
      <c r="I17" s="16">
        <v>15000.0</v>
      </c>
      <c r="J17" s="17">
        <v>-13000.0</v>
      </c>
      <c r="K17" s="17">
        <f t="shared" si="4"/>
        <v>190000</v>
      </c>
      <c r="L17" s="31" t="s">
        <v>31</v>
      </c>
    </row>
    <row r="18">
      <c r="A18" s="6"/>
      <c r="B18" s="28" t="s">
        <v>35</v>
      </c>
      <c r="C18" s="13" t="s">
        <v>26</v>
      </c>
      <c r="D18" s="14">
        <v>140000.0</v>
      </c>
      <c r="E18" s="15">
        <v>20000.0</v>
      </c>
      <c r="F18" s="29"/>
      <c r="G18" s="30"/>
      <c r="H18" s="29">
        <f t="shared" si="3"/>
        <v>160000</v>
      </c>
      <c r="I18" s="16">
        <v>0.0</v>
      </c>
      <c r="J18" s="29"/>
      <c r="K18" s="30">
        <f t="shared" si="4"/>
        <v>160000</v>
      </c>
      <c r="L18" s="31" t="s">
        <v>31</v>
      </c>
    </row>
    <row r="19">
      <c r="A19" s="6"/>
      <c r="B19" s="19"/>
      <c r="C19" s="20" t="s">
        <v>28</v>
      </c>
      <c r="D19" s="14">
        <v>140000.0</v>
      </c>
      <c r="E19" s="15">
        <v>20000.0</v>
      </c>
      <c r="F19" s="16">
        <v>18500.0</v>
      </c>
      <c r="G19" s="16"/>
      <c r="H19" s="17">
        <f t="shared" si="3"/>
        <v>178500</v>
      </c>
      <c r="I19" s="16">
        <v>18000.0</v>
      </c>
      <c r="J19" s="17">
        <v>-11500.0</v>
      </c>
      <c r="K19" s="17">
        <f t="shared" si="4"/>
        <v>185000</v>
      </c>
      <c r="L19" s="31" t="s">
        <v>31</v>
      </c>
      <c r="M19" s="32">
        <f>G60-K19</f>
        <v>0</v>
      </c>
    </row>
    <row r="20">
      <c r="A20" s="6"/>
      <c r="B20" s="21"/>
      <c r="C20" s="18" t="s">
        <v>29</v>
      </c>
      <c r="D20" s="14">
        <v>140000.0</v>
      </c>
      <c r="E20" s="15">
        <v>20000.0</v>
      </c>
      <c r="F20" s="16">
        <v>28000.0</v>
      </c>
      <c r="G20" s="16"/>
      <c r="H20" s="17">
        <f t="shared" si="3"/>
        <v>188000</v>
      </c>
      <c r="I20" s="16">
        <v>15000.0</v>
      </c>
      <c r="J20" s="17">
        <v>-13000.0</v>
      </c>
      <c r="K20" s="17">
        <f t="shared" si="4"/>
        <v>190000</v>
      </c>
      <c r="L20" s="31" t="s">
        <v>31</v>
      </c>
      <c r="M20" s="32">
        <f>J60-K20</f>
        <v>0</v>
      </c>
    </row>
    <row r="21">
      <c r="A21" s="6"/>
      <c r="B21" s="1" t="s">
        <v>36</v>
      </c>
    </row>
    <row r="22">
      <c r="A22" s="6"/>
    </row>
    <row r="23">
      <c r="A23" s="6"/>
      <c r="B23" s="6" t="s">
        <v>37</v>
      </c>
      <c r="C23" s="5"/>
      <c r="D23" s="5"/>
      <c r="E23" s="5"/>
      <c r="F23" s="5"/>
      <c r="G23" s="5"/>
      <c r="H23" s="5"/>
      <c r="I23" s="5"/>
      <c r="J23" s="5"/>
      <c r="K23" s="5"/>
      <c r="L23" s="5"/>
    </row>
    <row r="24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>
      <c r="A25" s="6"/>
      <c r="B25" s="7" t="s">
        <v>14</v>
      </c>
      <c r="C25" s="7" t="s">
        <v>15</v>
      </c>
      <c r="D25" s="7" t="s">
        <v>16</v>
      </c>
      <c r="E25" s="7"/>
      <c r="F25" s="33" t="s">
        <v>18</v>
      </c>
      <c r="G25" s="7" t="s">
        <v>19</v>
      </c>
      <c r="H25" s="33"/>
      <c r="I25" s="33"/>
      <c r="J25" s="33" t="s">
        <v>22</v>
      </c>
      <c r="K25" s="7" t="s">
        <v>23</v>
      </c>
      <c r="L25" s="7" t="s">
        <v>24</v>
      </c>
    </row>
    <row r="26">
      <c r="A26" s="6"/>
      <c r="B26" s="34" t="s">
        <v>25</v>
      </c>
      <c r="C26" s="13" t="s">
        <v>26</v>
      </c>
      <c r="D26" s="15">
        <v>145000.0</v>
      </c>
      <c r="E26" s="15"/>
      <c r="F26" s="16"/>
      <c r="G26" s="16">
        <v>0.0</v>
      </c>
      <c r="H26" s="16"/>
      <c r="I26" s="16"/>
      <c r="J26" s="16"/>
      <c r="K26" s="17">
        <f t="shared" ref="K26:K40" si="5">SUM(D26:J26)</f>
        <v>145000</v>
      </c>
      <c r="L26" s="18" t="s">
        <v>27</v>
      </c>
    </row>
    <row r="27">
      <c r="A27" s="6"/>
      <c r="B27" s="35"/>
      <c r="C27" s="20" t="s">
        <v>28</v>
      </c>
      <c r="D27" s="15">
        <v>145000.0</v>
      </c>
      <c r="E27" s="15"/>
      <c r="F27" s="16">
        <v>18500.0</v>
      </c>
      <c r="G27" s="16">
        <v>18000.0</v>
      </c>
      <c r="H27" s="16"/>
      <c r="I27" s="16"/>
      <c r="J27" s="16"/>
      <c r="K27" s="17">
        <f t="shared" si="5"/>
        <v>181500</v>
      </c>
      <c r="L27" s="18" t="s">
        <v>27</v>
      </c>
    </row>
    <row r="28">
      <c r="A28" s="6"/>
      <c r="B28" s="35"/>
      <c r="C28" s="18" t="s">
        <v>29</v>
      </c>
      <c r="D28" s="15">
        <v>145000.0</v>
      </c>
      <c r="E28" s="15"/>
      <c r="F28" s="16">
        <v>28000.0</v>
      </c>
      <c r="G28" s="16">
        <v>15000.0</v>
      </c>
      <c r="H28" s="16"/>
      <c r="I28" s="16"/>
      <c r="J28" s="16"/>
      <c r="K28" s="17">
        <f t="shared" si="5"/>
        <v>188000</v>
      </c>
      <c r="L28" s="18" t="s">
        <v>27</v>
      </c>
    </row>
    <row r="29">
      <c r="A29" s="6"/>
      <c r="B29" s="7" t="s">
        <v>30</v>
      </c>
      <c r="C29" s="13" t="s">
        <v>26</v>
      </c>
      <c r="D29" s="15">
        <v>145000.0</v>
      </c>
      <c r="E29" s="15"/>
      <c r="F29" s="29"/>
      <c r="G29" s="30"/>
      <c r="H29" s="29"/>
      <c r="I29" s="29"/>
      <c r="J29" s="29"/>
      <c r="K29" s="17">
        <f t="shared" si="5"/>
        <v>145000</v>
      </c>
      <c r="L29" s="31" t="s">
        <v>38</v>
      </c>
    </row>
    <row r="30">
      <c r="A30" s="6"/>
      <c r="B30" s="7"/>
      <c r="C30" s="20" t="s">
        <v>28</v>
      </c>
      <c r="D30" s="15">
        <v>145000.0</v>
      </c>
      <c r="E30" s="15"/>
      <c r="F30" s="16">
        <v>18500.0</v>
      </c>
      <c r="G30" s="17"/>
      <c r="H30" s="16"/>
      <c r="I30" s="16"/>
      <c r="J30" s="16">
        <v>-3500.0</v>
      </c>
      <c r="K30" s="17">
        <f t="shared" si="5"/>
        <v>160000</v>
      </c>
      <c r="L30" s="31" t="s">
        <v>38</v>
      </c>
    </row>
    <row r="31">
      <c r="A31" s="6"/>
      <c r="B31" s="7"/>
      <c r="C31" s="18" t="s">
        <v>29</v>
      </c>
      <c r="D31" s="15">
        <v>145000.0</v>
      </c>
      <c r="E31" s="15"/>
      <c r="F31" s="16">
        <v>28000.0</v>
      </c>
      <c r="G31" s="17"/>
      <c r="H31" s="16"/>
      <c r="I31" s="16"/>
      <c r="J31" s="16"/>
      <c r="K31" s="17">
        <f t="shared" si="5"/>
        <v>173000</v>
      </c>
      <c r="L31" s="31" t="s">
        <v>38</v>
      </c>
    </row>
    <row r="32">
      <c r="A32" s="6"/>
      <c r="B32" s="7" t="s">
        <v>33</v>
      </c>
      <c r="C32" s="13" t="s">
        <v>26</v>
      </c>
      <c r="D32" s="15">
        <v>145000.0</v>
      </c>
      <c r="E32" s="15"/>
      <c r="F32" s="29"/>
      <c r="G32" s="30"/>
      <c r="H32" s="29"/>
      <c r="I32" s="29"/>
      <c r="J32" s="29"/>
      <c r="K32" s="17">
        <f t="shared" si="5"/>
        <v>145000</v>
      </c>
      <c r="L32" s="31" t="s">
        <v>38</v>
      </c>
    </row>
    <row r="33">
      <c r="A33" s="6"/>
      <c r="B33" s="7"/>
      <c r="C33" s="20" t="s">
        <v>28</v>
      </c>
      <c r="D33" s="15">
        <v>145000.0</v>
      </c>
      <c r="E33" s="15"/>
      <c r="F33" s="16">
        <v>18500.0</v>
      </c>
      <c r="G33" s="17"/>
      <c r="H33" s="16"/>
      <c r="I33" s="16"/>
      <c r="J33" s="16">
        <v>-3500.0</v>
      </c>
      <c r="K33" s="17">
        <f t="shared" si="5"/>
        <v>160000</v>
      </c>
      <c r="L33" s="31" t="s">
        <v>38</v>
      </c>
    </row>
    <row r="34">
      <c r="A34" s="6"/>
      <c r="B34" s="7"/>
      <c r="C34" s="18" t="s">
        <v>29</v>
      </c>
      <c r="D34" s="15">
        <v>145000.0</v>
      </c>
      <c r="E34" s="15"/>
      <c r="F34" s="16">
        <v>28000.0</v>
      </c>
      <c r="G34" s="17"/>
      <c r="H34" s="16"/>
      <c r="I34" s="16"/>
      <c r="J34" s="16"/>
      <c r="K34" s="17">
        <f t="shared" si="5"/>
        <v>173000</v>
      </c>
      <c r="L34" s="31" t="s">
        <v>38</v>
      </c>
    </row>
    <row r="35">
      <c r="A35" s="6"/>
      <c r="B35" s="7" t="s">
        <v>34</v>
      </c>
      <c r="C35" s="13" t="s">
        <v>26</v>
      </c>
      <c r="D35" s="15">
        <v>145000.0</v>
      </c>
      <c r="E35" s="15"/>
      <c r="F35" s="29"/>
      <c r="G35" s="30"/>
      <c r="H35" s="29"/>
      <c r="I35" s="29"/>
      <c r="J35" s="29"/>
      <c r="K35" s="17">
        <f t="shared" si="5"/>
        <v>145000</v>
      </c>
      <c r="L35" s="31" t="s">
        <v>38</v>
      </c>
    </row>
    <row r="36">
      <c r="A36" s="6"/>
      <c r="B36" s="36"/>
      <c r="C36" s="20" t="s">
        <v>28</v>
      </c>
      <c r="D36" s="15">
        <v>145000.0</v>
      </c>
      <c r="E36" s="15"/>
      <c r="F36" s="16">
        <v>18500.0</v>
      </c>
      <c r="G36" s="17"/>
      <c r="H36" s="16"/>
      <c r="I36" s="16"/>
      <c r="J36" s="16">
        <v>-3500.0</v>
      </c>
      <c r="K36" s="17">
        <f t="shared" si="5"/>
        <v>160000</v>
      </c>
      <c r="L36" s="31" t="s">
        <v>38</v>
      </c>
    </row>
    <row r="37">
      <c r="A37" s="6"/>
      <c r="B37" s="36"/>
      <c r="C37" s="18" t="s">
        <v>29</v>
      </c>
      <c r="D37" s="15">
        <v>145000.0</v>
      </c>
      <c r="E37" s="15"/>
      <c r="F37" s="16">
        <v>28000.0</v>
      </c>
      <c r="G37" s="17"/>
      <c r="H37" s="16"/>
      <c r="I37" s="16"/>
      <c r="J37" s="16"/>
      <c r="K37" s="17">
        <f t="shared" si="5"/>
        <v>173000</v>
      </c>
      <c r="L37" s="31" t="s">
        <v>38</v>
      </c>
    </row>
    <row r="38">
      <c r="A38" s="6"/>
      <c r="B38" s="7" t="s">
        <v>35</v>
      </c>
      <c r="C38" s="13" t="s">
        <v>26</v>
      </c>
      <c r="D38" s="15">
        <v>145000.0</v>
      </c>
      <c r="E38" s="15"/>
      <c r="F38" s="29"/>
      <c r="G38" s="30"/>
      <c r="H38" s="29"/>
      <c r="I38" s="29"/>
      <c r="J38" s="29"/>
      <c r="K38" s="17">
        <f t="shared" si="5"/>
        <v>145000</v>
      </c>
      <c r="L38" s="31" t="s">
        <v>38</v>
      </c>
    </row>
    <row r="39">
      <c r="A39" s="6"/>
      <c r="B39" s="7"/>
      <c r="C39" s="20" t="s">
        <v>28</v>
      </c>
      <c r="D39" s="15">
        <v>145000.0</v>
      </c>
      <c r="E39" s="15"/>
      <c r="F39" s="16">
        <v>18500.0</v>
      </c>
      <c r="G39" s="17"/>
      <c r="H39" s="16"/>
      <c r="I39" s="16"/>
      <c r="J39" s="16">
        <v>-3500.0</v>
      </c>
      <c r="K39" s="17">
        <f t="shared" si="5"/>
        <v>160000</v>
      </c>
      <c r="L39" s="31" t="s">
        <v>38</v>
      </c>
    </row>
    <row r="40">
      <c r="A40" s="6"/>
      <c r="B40" s="7"/>
      <c r="C40" s="18" t="s">
        <v>29</v>
      </c>
      <c r="D40" s="15">
        <v>145000.0</v>
      </c>
      <c r="E40" s="15"/>
      <c r="F40" s="16">
        <v>28000.0</v>
      </c>
      <c r="G40" s="17"/>
      <c r="H40" s="16"/>
      <c r="I40" s="16"/>
      <c r="J40" s="16"/>
      <c r="K40" s="17">
        <f t="shared" si="5"/>
        <v>173000</v>
      </c>
      <c r="L40" s="31" t="s">
        <v>38</v>
      </c>
    </row>
    <row r="41">
      <c r="A41" s="6"/>
    </row>
    <row r="42">
      <c r="A42" s="6"/>
    </row>
    <row r="43">
      <c r="A43" s="6"/>
      <c r="G43" s="20" t="s">
        <v>28</v>
      </c>
      <c r="H43" s="18"/>
      <c r="I43" s="18"/>
      <c r="J43" s="18" t="s">
        <v>29</v>
      </c>
    </row>
    <row r="44">
      <c r="A44" s="6"/>
    </row>
    <row r="45">
      <c r="A45" s="6"/>
      <c r="C45" s="1" t="s">
        <v>39</v>
      </c>
      <c r="E45" s="37">
        <v>38000.0</v>
      </c>
      <c r="F45" s="32"/>
      <c r="G45" s="32"/>
      <c r="H45" s="32"/>
      <c r="I45" s="32"/>
      <c r="J45" s="32"/>
    </row>
    <row r="46">
      <c r="A46" s="6"/>
      <c r="C46" s="1" t="s">
        <v>40</v>
      </c>
      <c r="E46" s="37">
        <v>6500.0</v>
      </c>
      <c r="F46" s="32"/>
      <c r="G46" s="32"/>
      <c r="H46" s="32"/>
      <c r="I46" s="32"/>
      <c r="J46" s="32"/>
    </row>
    <row r="47">
      <c r="A47" s="6"/>
      <c r="C47" s="1" t="s">
        <v>41</v>
      </c>
      <c r="E47" s="37">
        <v>10000.0</v>
      </c>
      <c r="F47" s="32"/>
      <c r="G47" s="32"/>
      <c r="H47" s="32"/>
      <c r="I47" s="32"/>
      <c r="J47" s="32"/>
    </row>
    <row r="48">
      <c r="A48" s="6"/>
      <c r="C48" s="1" t="s">
        <v>42</v>
      </c>
      <c r="E48" s="37">
        <v>16000.0</v>
      </c>
      <c r="F48" s="32"/>
      <c r="G48" s="32"/>
      <c r="H48" s="32"/>
      <c r="I48" s="32"/>
      <c r="J48" s="32"/>
    </row>
    <row r="49">
      <c r="A49" s="6"/>
      <c r="C49" s="1" t="s">
        <v>43</v>
      </c>
      <c r="E49" s="37">
        <v>2000.0</v>
      </c>
      <c r="F49" s="32"/>
      <c r="G49" s="32"/>
      <c r="H49" s="32"/>
      <c r="I49" s="32"/>
      <c r="J49" s="32"/>
    </row>
    <row r="50">
      <c r="A50" s="6"/>
      <c r="C50" s="1" t="s">
        <v>44</v>
      </c>
      <c r="E50" s="37">
        <v>70000.0</v>
      </c>
      <c r="F50" s="32"/>
      <c r="G50" s="32">
        <f>SUM(E45:E50)</f>
        <v>142500</v>
      </c>
      <c r="H50" s="37"/>
      <c r="I50" s="37"/>
      <c r="J50" s="37">
        <f>G50</f>
        <v>142500</v>
      </c>
    </row>
    <row r="51">
      <c r="A51" s="6"/>
      <c r="C51" s="1" t="s">
        <v>45</v>
      </c>
      <c r="E51" s="32"/>
      <c r="F51" s="32"/>
      <c r="G51" s="37">
        <v>18500.0</v>
      </c>
      <c r="H51" s="32"/>
      <c r="I51" s="32"/>
      <c r="J51" s="32"/>
    </row>
    <row r="52">
      <c r="C52" s="1" t="s">
        <v>46</v>
      </c>
      <c r="E52" s="32"/>
      <c r="F52" s="32"/>
      <c r="G52" s="32"/>
      <c r="H52" s="37"/>
      <c r="I52" s="37"/>
      <c r="J52" s="37">
        <v>28000.0</v>
      </c>
    </row>
    <row r="53">
      <c r="C53" s="1" t="s">
        <v>47</v>
      </c>
      <c r="E53" s="32"/>
      <c r="F53" s="32"/>
      <c r="G53" s="32"/>
      <c r="H53" s="32"/>
      <c r="I53" s="32"/>
      <c r="J53" s="32"/>
    </row>
    <row r="54">
      <c r="E54" s="37" t="s">
        <v>48</v>
      </c>
      <c r="F54" s="32"/>
      <c r="G54" s="38">
        <f>SUM(G45:G53)</f>
        <v>161000</v>
      </c>
      <c r="H54" s="39"/>
      <c r="I54" s="39"/>
      <c r="J54" s="39">
        <f>SUM(J45:J53)</f>
        <v>170500</v>
      </c>
    </row>
    <row r="55">
      <c r="C55" s="1" t="s">
        <v>49</v>
      </c>
      <c r="E55" s="32"/>
      <c r="F55" s="32"/>
      <c r="G55" s="32"/>
      <c r="H55" s="32"/>
      <c r="I55" s="32"/>
      <c r="J55" s="32"/>
    </row>
    <row r="56">
      <c r="C56" s="1" t="s">
        <v>50</v>
      </c>
      <c r="E56" s="32"/>
      <c r="F56" s="32"/>
      <c r="G56" s="40">
        <v>18000.0</v>
      </c>
      <c r="H56" s="32"/>
      <c r="I56" s="32"/>
      <c r="J56" s="32"/>
    </row>
    <row r="57">
      <c r="C57" s="1" t="s">
        <v>51</v>
      </c>
      <c r="E57" s="32"/>
      <c r="F57" s="32"/>
      <c r="G57" s="32"/>
      <c r="H57" s="40"/>
      <c r="I57" s="40"/>
      <c r="J57" s="40">
        <v>15000.0</v>
      </c>
    </row>
    <row r="58">
      <c r="E58" s="32"/>
      <c r="F58" s="32"/>
      <c r="G58" s="32"/>
      <c r="H58" s="32"/>
      <c r="I58" s="32"/>
      <c r="J58" s="32"/>
    </row>
    <row r="59">
      <c r="E59" s="37" t="s">
        <v>52</v>
      </c>
      <c r="F59" s="32"/>
      <c r="G59" s="38">
        <f>G54+G56</f>
        <v>179000</v>
      </c>
      <c r="H59" s="39"/>
      <c r="I59" s="39"/>
      <c r="J59" s="39">
        <f>J54+J57</f>
        <v>185500</v>
      </c>
    </row>
    <row r="60">
      <c r="E60" s="1" t="s">
        <v>53</v>
      </c>
      <c r="F60" s="32"/>
      <c r="G60" s="41">
        <v>185000.0</v>
      </c>
      <c r="H60" s="41"/>
      <c r="I60" s="41"/>
      <c r="J60" s="41">
        <v>190000.0</v>
      </c>
    </row>
  </sheetData>
  <mergeCells count="5">
    <mergeCell ref="B5:B7"/>
    <mergeCell ref="B9:B11"/>
    <mergeCell ref="B12:B14"/>
    <mergeCell ref="B15:B17"/>
    <mergeCell ref="B18:B20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25.29"/>
    <col customWidth="1" min="3" max="3" width="11.43"/>
    <col customWidth="1" min="4" max="8" width="15.29"/>
  </cols>
  <sheetData>
    <row r="2">
      <c r="B2" s="42" t="s">
        <v>54</v>
      </c>
      <c r="C2" s="42" t="s">
        <v>55</v>
      </c>
      <c r="D2" s="43" t="s">
        <v>56</v>
      </c>
      <c r="E2" s="44"/>
      <c r="F2" s="44"/>
      <c r="G2" s="44"/>
      <c r="H2" s="45"/>
    </row>
    <row r="3">
      <c r="B3" s="21"/>
      <c r="C3" s="21"/>
      <c r="D3" s="46" t="s">
        <v>57</v>
      </c>
      <c r="E3" s="46" t="s">
        <v>26</v>
      </c>
      <c r="F3" s="46" t="s">
        <v>58</v>
      </c>
      <c r="G3" s="46" t="s">
        <v>59</v>
      </c>
      <c r="H3" s="46" t="s">
        <v>60</v>
      </c>
    </row>
    <row r="4">
      <c r="B4" s="47" t="s">
        <v>61</v>
      </c>
      <c r="C4" s="48" t="s">
        <v>62</v>
      </c>
      <c r="D4" s="49">
        <v>135000.0</v>
      </c>
      <c r="E4" s="50"/>
      <c r="F4" s="50"/>
      <c r="G4" s="51">
        <f t="shared" ref="G4:G6" si="1">D4+5000</f>
        <v>140000</v>
      </c>
      <c r="H4" s="49">
        <v>80000.0</v>
      </c>
    </row>
    <row r="5">
      <c r="B5" s="47" t="s">
        <v>63</v>
      </c>
      <c r="C5" s="48" t="s">
        <v>62</v>
      </c>
      <c r="D5" s="49">
        <v>135000.0</v>
      </c>
      <c r="E5" s="50"/>
      <c r="F5" s="50"/>
      <c r="G5" s="51">
        <f t="shared" si="1"/>
        <v>140000</v>
      </c>
      <c r="H5" s="49">
        <v>80000.0</v>
      </c>
    </row>
    <row r="6">
      <c r="B6" s="47" t="s">
        <v>64</v>
      </c>
      <c r="C6" s="48" t="s">
        <v>62</v>
      </c>
      <c r="D6" s="49">
        <v>145000.0</v>
      </c>
      <c r="E6" s="50"/>
      <c r="F6" s="50"/>
      <c r="G6" s="51">
        <f t="shared" si="1"/>
        <v>150000</v>
      </c>
      <c r="H6" s="49">
        <v>60000.0</v>
      </c>
    </row>
    <row r="7">
      <c r="B7" s="47"/>
      <c r="C7" s="52"/>
      <c r="D7" s="51"/>
      <c r="E7" s="51"/>
      <c r="F7" s="51"/>
      <c r="G7" s="51"/>
      <c r="H7" s="51"/>
    </row>
    <row r="8">
      <c r="B8" s="47" t="s">
        <v>65</v>
      </c>
      <c r="C8" s="48" t="s">
        <v>66</v>
      </c>
      <c r="D8" s="49">
        <v>145000.0</v>
      </c>
      <c r="E8" s="49">
        <v>145000.0</v>
      </c>
      <c r="F8" s="51">
        <f t="shared" ref="F8:F12" si="2">E8+5000</f>
        <v>150000</v>
      </c>
      <c r="G8" s="50"/>
      <c r="H8" s="49">
        <v>80000.0</v>
      </c>
    </row>
    <row r="9">
      <c r="B9" s="47" t="s">
        <v>67</v>
      </c>
      <c r="C9" s="48" t="s">
        <v>66</v>
      </c>
      <c r="D9" s="49">
        <v>147000.0</v>
      </c>
      <c r="E9" s="49">
        <v>147000.0</v>
      </c>
      <c r="F9" s="51">
        <f t="shared" si="2"/>
        <v>152000</v>
      </c>
      <c r="G9" s="50"/>
      <c r="H9" s="49">
        <v>80000.0</v>
      </c>
    </row>
    <row r="10">
      <c r="B10" s="47" t="s">
        <v>68</v>
      </c>
      <c r="C10" s="48" t="s">
        <v>66</v>
      </c>
      <c r="D10" s="49">
        <v>150000.0</v>
      </c>
      <c r="E10" s="49">
        <v>150000.0</v>
      </c>
      <c r="F10" s="51">
        <f t="shared" si="2"/>
        <v>155000</v>
      </c>
      <c r="G10" s="50"/>
      <c r="H10" s="49">
        <v>85000.0</v>
      </c>
    </row>
    <row r="11">
      <c r="B11" s="47" t="s">
        <v>69</v>
      </c>
      <c r="C11" s="48" t="s">
        <v>66</v>
      </c>
      <c r="D11" s="49">
        <v>155000.0</v>
      </c>
      <c r="E11" s="49">
        <v>155000.0</v>
      </c>
      <c r="F11" s="51">
        <f t="shared" si="2"/>
        <v>160000</v>
      </c>
      <c r="G11" s="50"/>
      <c r="H11" s="49">
        <v>90000.0</v>
      </c>
    </row>
    <row r="12">
      <c r="B12" s="47" t="s">
        <v>70</v>
      </c>
      <c r="C12" s="48" t="s">
        <v>66</v>
      </c>
      <c r="D12" s="49">
        <v>155000.0</v>
      </c>
      <c r="E12" s="49">
        <v>155000.0</v>
      </c>
      <c r="F12" s="51">
        <f t="shared" si="2"/>
        <v>160000</v>
      </c>
      <c r="G12" s="50"/>
      <c r="H12" s="49">
        <v>90000.0</v>
      </c>
    </row>
    <row r="13">
      <c r="B13" s="47"/>
      <c r="C13" s="52"/>
      <c r="D13" s="51"/>
      <c r="E13" s="51"/>
      <c r="F13" s="51"/>
      <c r="G13" s="51"/>
      <c r="H13" s="51"/>
    </row>
    <row r="14">
      <c r="B14" s="47" t="s">
        <v>71</v>
      </c>
      <c r="C14" s="48" t="s">
        <v>72</v>
      </c>
      <c r="D14" s="49">
        <v>160000.0</v>
      </c>
      <c r="E14" s="50"/>
      <c r="F14" s="50"/>
      <c r="G14" s="50"/>
      <c r="H14" s="49">
        <v>100000.0</v>
      </c>
    </row>
    <row r="15">
      <c r="B15" s="47" t="s">
        <v>73</v>
      </c>
      <c r="C15" s="48" t="s">
        <v>72</v>
      </c>
      <c r="D15" s="49">
        <v>165000.0</v>
      </c>
      <c r="E15" s="50"/>
      <c r="F15" s="50"/>
      <c r="G15" s="50"/>
      <c r="H15" s="49">
        <v>105000.0</v>
      </c>
    </row>
    <row r="16">
      <c r="B16" s="47" t="s">
        <v>74</v>
      </c>
      <c r="C16" s="48" t="s">
        <v>72</v>
      </c>
      <c r="D16" s="49">
        <v>170000.0</v>
      </c>
      <c r="E16" s="50"/>
      <c r="F16" s="50"/>
      <c r="G16" s="50"/>
      <c r="H16" s="53">
        <v>110000.0</v>
      </c>
    </row>
    <row r="17">
      <c r="C17" s="32"/>
      <c r="D17" s="32"/>
      <c r="E17" s="32"/>
      <c r="F17" s="32"/>
      <c r="G17" s="32"/>
      <c r="H17" s="32"/>
    </row>
  </sheetData>
  <mergeCells count="3">
    <mergeCell ref="B2:B3"/>
    <mergeCell ref="C2:C3"/>
    <mergeCell ref="D2:H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2" max="2" width="18.43"/>
    <col customWidth="1" min="4" max="4" width="13.14"/>
    <col customWidth="1" min="6" max="6" width="16.14"/>
    <col customWidth="1" min="7" max="8" width="12.57"/>
    <col customWidth="1" min="10" max="10" width="16.0"/>
    <col customWidth="1" min="13" max="13" width="17.29"/>
    <col customWidth="1" min="15" max="15" width="16.86"/>
  </cols>
  <sheetData>
    <row r="1"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>
      <c r="E2" s="54" t="s">
        <v>75</v>
      </c>
    </row>
    <row r="3"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</row>
    <row r="4">
      <c r="E4" s="55" t="s">
        <v>61</v>
      </c>
      <c r="F4" s="56"/>
      <c r="G4" s="56"/>
      <c r="H4" s="57"/>
      <c r="I4" s="55" t="s">
        <v>76</v>
      </c>
      <c r="J4" s="56"/>
      <c r="K4" s="56"/>
      <c r="L4" s="57"/>
      <c r="M4" s="55" t="s">
        <v>65</v>
      </c>
      <c r="N4" s="56"/>
      <c r="O4" s="57"/>
      <c r="P4" s="55" t="s">
        <v>77</v>
      </c>
      <c r="Q4" s="56"/>
      <c r="R4" s="57"/>
    </row>
    <row r="5">
      <c r="B5" s="58"/>
      <c r="D5" s="59" t="s">
        <v>56</v>
      </c>
      <c r="E5" s="60" t="s">
        <v>57</v>
      </c>
      <c r="F5" s="61" t="s">
        <v>78</v>
      </c>
      <c r="G5" s="62" t="s">
        <v>79</v>
      </c>
      <c r="H5" s="63" t="s">
        <v>60</v>
      </c>
      <c r="I5" s="60" t="s">
        <v>57</v>
      </c>
      <c r="J5" s="61" t="s">
        <v>78</v>
      </c>
      <c r="K5" s="62" t="s">
        <v>79</v>
      </c>
      <c r="L5" s="63" t="s">
        <v>60</v>
      </c>
      <c r="M5" s="64" t="s">
        <v>26</v>
      </c>
      <c r="N5" s="61" t="s">
        <v>78</v>
      </c>
      <c r="O5" s="65" t="s">
        <v>60</v>
      </c>
      <c r="P5" s="64" t="s">
        <v>26</v>
      </c>
      <c r="Q5" s="61" t="s">
        <v>78</v>
      </c>
      <c r="R5" s="63" t="s">
        <v>60</v>
      </c>
    </row>
    <row r="6">
      <c r="B6" s="58"/>
      <c r="C6" s="58"/>
      <c r="D6" s="58"/>
      <c r="E6" s="66"/>
      <c r="H6" s="67"/>
      <c r="I6" s="66"/>
      <c r="L6" s="67"/>
      <c r="M6" s="66"/>
      <c r="N6" s="68"/>
      <c r="P6" s="66"/>
      <c r="Q6" s="68"/>
      <c r="R6" s="67"/>
    </row>
    <row r="7">
      <c r="D7" s="69" t="s">
        <v>80</v>
      </c>
      <c r="E7" s="70">
        <f>H46</f>
        <v>28698.68979</v>
      </c>
      <c r="F7" s="71">
        <f>E7</f>
        <v>28698.68979</v>
      </c>
      <c r="G7" s="72">
        <f>AH46</f>
        <v>36606.17647</v>
      </c>
      <c r="H7" s="73">
        <f>Z46</f>
        <v>54341.59504</v>
      </c>
      <c r="I7" s="70">
        <f>P94</f>
        <v>32453.32727</v>
      </c>
      <c r="J7" s="71">
        <f>I7</f>
        <v>32453.32727</v>
      </c>
      <c r="K7" s="72">
        <f>AE94</f>
        <v>43741.52727</v>
      </c>
      <c r="L7" s="73">
        <f>W94</f>
        <v>30098.31111</v>
      </c>
      <c r="M7" s="70">
        <f>H117</f>
        <v>29796.8</v>
      </c>
      <c r="N7" s="74"/>
      <c r="O7" s="72">
        <f>H148</f>
        <v>45896.30485</v>
      </c>
      <c r="P7" s="70">
        <f>P117</f>
        <v>35967.21176</v>
      </c>
      <c r="Q7" s="74"/>
      <c r="R7" s="73">
        <f>P148</f>
        <v>47522.0774</v>
      </c>
    </row>
    <row r="8">
      <c r="C8" s="58"/>
      <c r="D8" s="75" t="s">
        <v>81</v>
      </c>
      <c r="E8" s="76">
        <v>72500.0</v>
      </c>
      <c r="F8" s="51">
        <f>E8+5000+2400</f>
        <v>79900</v>
      </c>
      <c r="G8" s="77"/>
      <c r="H8" s="78"/>
      <c r="I8" s="76">
        <v>72500.0</v>
      </c>
      <c r="J8" s="51">
        <f>I8+5000+2400</f>
        <v>79900</v>
      </c>
      <c r="K8" s="79"/>
      <c r="L8" s="80"/>
      <c r="M8" s="76">
        <v>72500.0</v>
      </c>
      <c r="N8" s="81"/>
      <c r="O8" s="82"/>
      <c r="P8" s="76">
        <v>72500.0</v>
      </c>
      <c r="Q8" s="81"/>
      <c r="R8" s="80"/>
    </row>
    <row r="9">
      <c r="C9" s="58"/>
      <c r="D9" s="83" t="s">
        <v>82</v>
      </c>
      <c r="E9" s="76">
        <v>2500.0</v>
      </c>
      <c r="F9" s="51">
        <f t="shared" ref="F9:F13" si="1">E9</f>
        <v>2500</v>
      </c>
      <c r="G9" s="84"/>
      <c r="H9" s="85">
        <v>2000.0</v>
      </c>
      <c r="I9" s="76">
        <v>2500.0</v>
      </c>
      <c r="J9" s="51">
        <f t="shared" ref="J9:J13" si="2">I9</f>
        <v>2500</v>
      </c>
      <c r="K9" s="72"/>
      <c r="L9" s="85">
        <v>2000.0</v>
      </c>
      <c r="M9" s="76">
        <v>2500.0</v>
      </c>
      <c r="N9" s="81"/>
      <c r="O9" s="82"/>
      <c r="P9" s="76">
        <v>2500.0</v>
      </c>
      <c r="Q9" s="81"/>
      <c r="R9" s="80"/>
    </row>
    <row r="10">
      <c r="C10" s="58"/>
      <c r="D10" s="75" t="s">
        <v>83</v>
      </c>
      <c r="E10" s="76">
        <v>10000.0</v>
      </c>
      <c r="F10" s="51">
        <f t="shared" si="1"/>
        <v>10000</v>
      </c>
      <c r="G10" s="51">
        <f t="shared" ref="G10:G13" si="3">F10</f>
        <v>10000</v>
      </c>
      <c r="H10" s="86">
        <v>17500.0</v>
      </c>
      <c r="I10" s="76">
        <v>10000.0</v>
      </c>
      <c r="J10" s="51">
        <f t="shared" si="2"/>
        <v>10000</v>
      </c>
      <c r="K10" s="51">
        <f t="shared" ref="K10:K13" si="4">J10</f>
        <v>10000</v>
      </c>
      <c r="L10" s="86">
        <v>17500.0</v>
      </c>
      <c r="M10" s="76">
        <v>10000.0</v>
      </c>
      <c r="N10" s="81"/>
      <c r="O10" s="87">
        <v>17500.0</v>
      </c>
      <c r="P10" s="76">
        <v>10000.0</v>
      </c>
      <c r="Q10" s="81"/>
      <c r="R10" s="86">
        <v>17500.0</v>
      </c>
    </row>
    <row r="11">
      <c r="C11" s="58"/>
      <c r="D11" s="75" t="s">
        <v>84</v>
      </c>
      <c r="E11" s="76">
        <v>7500.0</v>
      </c>
      <c r="F11" s="51">
        <f t="shared" si="1"/>
        <v>7500</v>
      </c>
      <c r="G11" s="51">
        <f t="shared" si="3"/>
        <v>7500</v>
      </c>
      <c r="H11" s="88"/>
      <c r="I11" s="76">
        <v>7500.0</v>
      </c>
      <c r="J11" s="51">
        <f t="shared" si="2"/>
        <v>7500</v>
      </c>
      <c r="K11" s="51">
        <f t="shared" si="4"/>
        <v>7500</v>
      </c>
      <c r="L11" s="88"/>
      <c r="M11" s="76">
        <v>7500.0</v>
      </c>
      <c r="N11" s="81"/>
      <c r="O11" s="89"/>
      <c r="P11" s="76">
        <v>7500.0</v>
      </c>
      <c r="Q11" s="81"/>
      <c r="R11" s="88"/>
    </row>
    <row r="12">
      <c r="C12" s="58"/>
      <c r="D12" s="75" t="s">
        <v>85</v>
      </c>
      <c r="E12" s="76">
        <v>2500.0</v>
      </c>
      <c r="F12" s="51">
        <f t="shared" si="1"/>
        <v>2500</v>
      </c>
      <c r="G12" s="51">
        <f t="shared" si="3"/>
        <v>2500</v>
      </c>
      <c r="H12" s="90">
        <v>2500.0</v>
      </c>
      <c r="I12" s="76">
        <v>2500.0</v>
      </c>
      <c r="J12" s="51">
        <f t="shared" si="2"/>
        <v>2500</v>
      </c>
      <c r="K12" s="51">
        <f t="shared" si="4"/>
        <v>2500</v>
      </c>
      <c r="L12" s="90">
        <v>2500.0</v>
      </c>
      <c r="M12" s="76">
        <v>2500.0</v>
      </c>
      <c r="N12" s="81"/>
      <c r="O12" s="91">
        <v>2500.0</v>
      </c>
      <c r="P12" s="76">
        <v>2500.0</v>
      </c>
      <c r="Q12" s="81"/>
      <c r="R12" s="90">
        <v>2500.0</v>
      </c>
    </row>
    <row r="13">
      <c r="C13" s="58"/>
      <c r="D13" s="83" t="s">
        <v>86</v>
      </c>
      <c r="E13" s="76">
        <v>7000.0</v>
      </c>
      <c r="F13" s="51">
        <f t="shared" si="1"/>
        <v>7000</v>
      </c>
      <c r="G13" s="51">
        <f t="shared" si="3"/>
        <v>7000</v>
      </c>
      <c r="H13" s="90">
        <v>3000.0</v>
      </c>
      <c r="I13" s="76">
        <v>7000.0</v>
      </c>
      <c r="J13" s="51">
        <f t="shared" si="2"/>
        <v>7000</v>
      </c>
      <c r="K13" s="51">
        <f t="shared" si="4"/>
        <v>7000</v>
      </c>
      <c r="L13" s="90">
        <v>3000.0</v>
      </c>
      <c r="M13" s="76">
        <v>7000.0</v>
      </c>
      <c r="N13" s="81"/>
      <c r="O13" s="91">
        <v>3000.0</v>
      </c>
      <c r="P13" s="76">
        <v>7000.0</v>
      </c>
      <c r="Q13" s="81"/>
      <c r="R13" s="90">
        <v>3000.0</v>
      </c>
    </row>
    <row r="14">
      <c r="C14" s="58"/>
      <c r="D14" s="92" t="s">
        <v>87</v>
      </c>
      <c r="E14" s="93">
        <f t="shared" ref="E14:M14" si="5">SUM(E7:E13)</f>
        <v>130698.6898</v>
      </c>
      <c r="F14" s="94">
        <f t="shared" si="5"/>
        <v>138098.6898</v>
      </c>
      <c r="G14" s="94">
        <f t="shared" si="5"/>
        <v>63606.17647</v>
      </c>
      <c r="H14" s="95">
        <f t="shared" si="5"/>
        <v>79341.59504</v>
      </c>
      <c r="I14" s="93">
        <f t="shared" si="5"/>
        <v>134453.3273</v>
      </c>
      <c r="J14" s="94">
        <f t="shared" si="5"/>
        <v>141853.3273</v>
      </c>
      <c r="K14" s="94">
        <f t="shared" si="5"/>
        <v>70741.52727</v>
      </c>
      <c r="L14" s="95">
        <f t="shared" si="5"/>
        <v>55098.31111</v>
      </c>
      <c r="M14" s="93">
        <f t="shared" si="5"/>
        <v>131796.8</v>
      </c>
      <c r="N14" s="96"/>
      <c r="O14" s="97">
        <f t="shared" ref="O14:P14" si="6">SUM(O7:O13)</f>
        <v>68896.30485</v>
      </c>
      <c r="P14" s="93">
        <f t="shared" si="6"/>
        <v>137967.2118</v>
      </c>
      <c r="Q14" s="96"/>
      <c r="R14" s="95">
        <f>SUM(R7:R13)</f>
        <v>70522.0774</v>
      </c>
    </row>
    <row r="15">
      <c r="E15" s="98"/>
      <c r="H15" s="67"/>
      <c r="I15" s="98"/>
      <c r="L15" s="67"/>
      <c r="M15" s="98"/>
      <c r="N15" s="68"/>
      <c r="P15" s="98"/>
      <c r="Q15" s="68"/>
      <c r="R15" s="67"/>
    </row>
    <row r="16">
      <c r="D16" s="99" t="s">
        <v>88</v>
      </c>
      <c r="E16" s="100">
        <v>135000.0</v>
      </c>
      <c r="F16" s="101">
        <v>143000.0</v>
      </c>
      <c r="G16" s="102">
        <v>75000.0</v>
      </c>
      <c r="H16" s="103">
        <v>80000.0</v>
      </c>
      <c r="I16" s="104">
        <v>145000.0</v>
      </c>
      <c r="J16" s="105">
        <f>I16+5000</f>
        <v>150000</v>
      </c>
      <c r="K16" s="106">
        <v>87500.0</v>
      </c>
      <c r="L16" s="107">
        <v>60000.0</v>
      </c>
      <c r="M16" s="104">
        <v>145000.0</v>
      </c>
      <c r="N16" s="108"/>
      <c r="O16" s="102">
        <v>80000.0</v>
      </c>
      <c r="P16" s="104">
        <v>150000.0</v>
      </c>
      <c r="Q16" s="108"/>
      <c r="R16" s="103">
        <v>85000.0</v>
      </c>
    </row>
    <row r="17">
      <c r="E17" s="98"/>
      <c r="H17" s="67"/>
      <c r="I17" s="98"/>
      <c r="L17" s="67"/>
      <c r="M17" s="98"/>
      <c r="P17" s="98"/>
      <c r="R17" s="67"/>
    </row>
    <row r="18">
      <c r="D18" s="99" t="s">
        <v>89</v>
      </c>
      <c r="E18" s="109">
        <f t="shared" ref="E18:R18" si="7">E16-E14</f>
        <v>4301.310214</v>
      </c>
      <c r="F18" s="110">
        <f t="shared" si="7"/>
        <v>4901.310214</v>
      </c>
      <c r="G18" s="110">
        <f t="shared" si="7"/>
        <v>11393.82353</v>
      </c>
      <c r="H18" s="111">
        <f t="shared" si="7"/>
        <v>658.4049556</v>
      </c>
      <c r="I18" s="109">
        <f t="shared" si="7"/>
        <v>10546.67273</v>
      </c>
      <c r="J18" s="110">
        <f t="shared" si="7"/>
        <v>8146.672727</v>
      </c>
      <c r="K18" s="110">
        <f t="shared" si="7"/>
        <v>16758.47273</v>
      </c>
      <c r="L18" s="111">
        <f t="shared" si="7"/>
        <v>4901.688889</v>
      </c>
      <c r="M18" s="109">
        <f t="shared" si="7"/>
        <v>13203.2</v>
      </c>
      <c r="N18" s="112">
        <f t="shared" si="7"/>
        <v>0</v>
      </c>
      <c r="O18" s="113">
        <f t="shared" si="7"/>
        <v>11103.69515</v>
      </c>
      <c r="P18" s="109">
        <f t="shared" si="7"/>
        <v>12032.78824</v>
      </c>
      <c r="Q18" s="112">
        <f t="shared" si="7"/>
        <v>0</v>
      </c>
      <c r="R18" s="111">
        <f t="shared" si="7"/>
        <v>14477.9226</v>
      </c>
    </row>
    <row r="23">
      <c r="B23" s="58"/>
      <c r="C23" s="58"/>
      <c r="D23" s="58"/>
      <c r="E23" s="58"/>
    </row>
    <row r="24">
      <c r="B24" s="58"/>
    </row>
    <row r="25">
      <c r="B25" s="58"/>
    </row>
    <row r="26">
      <c r="B26" s="58"/>
      <c r="C26" s="58"/>
      <c r="D26" s="114"/>
    </row>
    <row r="27">
      <c r="A27" s="115"/>
      <c r="B27" s="116" t="s">
        <v>90</v>
      </c>
      <c r="C27" s="44"/>
      <c r="D27" s="44"/>
      <c r="E27" s="45"/>
      <c r="F27" s="115"/>
      <c r="J27" s="117"/>
      <c r="K27" s="118" t="s">
        <v>91</v>
      </c>
      <c r="L27" s="44"/>
      <c r="M27" s="44"/>
      <c r="N27" s="44"/>
      <c r="O27" s="44"/>
      <c r="P27" s="45"/>
      <c r="Q27" s="115"/>
      <c r="R27" s="115"/>
      <c r="S27" s="117"/>
      <c r="T27" s="119" t="s">
        <v>92</v>
      </c>
      <c r="U27" s="44"/>
      <c r="V27" s="44"/>
      <c r="W27" s="44"/>
      <c r="X27" s="44"/>
      <c r="Y27" s="44"/>
      <c r="Z27" s="45"/>
      <c r="AA27" s="120"/>
      <c r="AB27" s="121"/>
      <c r="AC27" s="122" t="s">
        <v>93</v>
      </c>
      <c r="AD27" s="44"/>
      <c r="AE27" s="44"/>
      <c r="AF27" s="44"/>
      <c r="AG27" s="44"/>
      <c r="AH27" s="45"/>
    </row>
    <row r="28">
      <c r="J28" s="58"/>
      <c r="L28" s="58"/>
      <c r="M28" s="58"/>
      <c r="N28" s="58"/>
      <c r="O28" s="58"/>
      <c r="P28" s="58"/>
      <c r="S28" s="58"/>
      <c r="T28" s="123"/>
      <c r="U28" s="123"/>
      <c r="V28" s="123"/>
      <c r="W28" s="123"/>
      <c r="X28" s="123"/>
      <c r="Y28" s="123"/>
      <c r="Z28" s="123"/>
      <c r="AA28" s="58"/>
      <c r="AB28" s="124" t="s">
        <v>94</v>
      </c>
      <c r="AC28" s="75">
        <v>851.0</v>
      </c>
      <c r="AD28" s="124">
        <v>851.0</v>
      </c>
      <c r="AE28" s="124">
        <v>183.0</v>
      </c>
      <c r="AF28" s="124">
        <v>183.0</v>
      </c>
      <c r="AG28" s="124">
        <v>966.0</v>
      </c>
      <c r="AH28" s="58"/>
    </row>
    <row r="29">
      <c r="E29" s="123"/>
      <c r="F29" s="125" t="s">
        <v>95</v>
      </c>
      <c r="J29" s="58"/>
      <c r="L29" s="126" t="s">
        <v>96</v>
      </c>
      <c r="M29" s="127" t="s">
        <v>97</v>
      </c>
      <c r="N29" s="123"/>
      <c r="O29" s="123"/>
      <c r="P29" s="123"/>
      <c r="S29" s="121"/>
      <c r="T29" s="128" t="s">
        <v>98</v>
      </c>
      <c r="U29" s="129" t="s">
        <v>99</v>
      </c>
      <c r="V29" s="129" t="s">
        <v>99</v>
      </c>
      <c r="W29" s="128" t="s">
        <v>98</v>
      </c>
      <c r="X29" s="128" t="s">
        <v>98</v>
      </c>
      <c r="Y29" s="129" t="s">
        <v>99</v>
      </c>
      <c r="Z29" s="130" t="s">
        <v>100</v>
      </c>
      <c r="AA29" s="131"/>
      <c r="AB29" s="121"/>
      <c r="AC29" s="128" t="s">
        <v>101</v>
      </c>
      <c r="AD29" s="129" t="s">
        <v>99</v>
      </c>
      <c r="AE29" s="132" t="s">
        <v>102</v>
      </c>
      <c r="AF29" s="133"/>
      <c r="AG29" s="133"/>
      <c r="AH29" s="130" t="s">
        <v>100</v>
      </c>
    </row>
    <row r="30">
      <c r="B30" s="123"/>
      <c r="C30" s="134" t="s">
        <v>98</v>
      </c>
      <c r="D30" s="135" t="s">
        <v>99</v>
      </c>
      <c r="F30" s="133" t="s">
        <v>103</v>
      </c>
      <c r="G30" s="130"/>
      <c r="H30" s="130" t="s">
        <v>100</v>
      </c>
      <c r="J30" s="136"/>
      <c r="K30" s="128"/>
      <c r="L30" s="128" t="s">
        <v>98</v>
      </c>
      <c r="M30" s="129" t="s">
        <v>99</v>
      </c>
      <c r="N30" s="129" t="s">
        <v>99</v>
      </c>
      <c r="O30" s="128" t="s">
        <v>98</v>
      </c>
      <c r="P30" s="130" t="s">
        <v>100</v>
      </c>
      <c r="S30" s="125" t="s">
        <v>94</v>
      </c>
      <c r="T30" s="125" t="s">
        <v>104</v>
      </c>
      <c r="U30" s="125" t="s">
        <v>105</v>
      </c>
      <c r="V30" s="125" t="s">
        <v>106</v>
      </c>
      <c r="W30" s="125" t="s">
        <v>107</v>
      </c>
      <c r="X30" s="125" t="s">
        <v>108</v>
      </c>
      <c r="Y30" s="125"/>
      <c r="Z30" s="137">
        <v>730.0</v>
      </c>
      <c r="AA30" s="124"/>
      <c r="AB30" s="136"/>
      <c r="AC30" s="138" t="s">
        <v>109</v>
      </c>
      <c r="AD30" s="138" t="s">
        <v>110</v>
      </c>
      <c r="AE30" s="138" t="s">
        <v>111</v>
      </c>
      <c r="AF30" s="138"/>
      <c r="AG30" s="138"/>
      <c r="AH30" s="136"/>
    </row>
    <row r="31">
      <c r="B31" s="139" t="s">
        <v>112</v>
      </c>
      <c r="C31" s="140"/>
      <c r="D31" s="140"/>
      <c r="E31" s="141"/>
      <c r="F31" s="140"/>
      <c r="G31" s="121"/>
      <c r="H31" s="121"/>
      <c r="J31" s="139" t="s">
        <v>112</v>
      </c>
      <c r="K31" s="140"/>
      <c r="L31" s="140"/>
      <c r="M31" s="140"/>
      <c r="N31" s="140"/>
      <c r="O31" s="140"/>
      <c r="P31" s="121"/>
      <c r="S31" s="139" t="s">
        <v>112</v>
      </c>
      <c r="T31" s="140"/>
      <c r="U31" s="140"/>
      <c r="V31" s="140"/>
      <c r="W31" s="140"/>
      <c r="X31" s="140"/>
      <c r="Y31" s="140"/>
      <c r="Z31" s="121"/>
      <c r="AA31" s="58"/>
      <c r="AB31" s="142" t="s">
        <v>112</v>
      </c>
      <c r="AC31" s="143"/>
      <c r="AD31" s="143"/>
      <c r="AE31" s="143"/>
      <c r="AF31" s="143"/>
      <c r="AG31" s="143"/>
      <c r="AH31" s="144"/>
    </row>
    <row r="32">
      <c r="B32" s="145" t="s">
        <v>113</v>
      </c>
      <c r="C32" s="146">
        <v>803.0</v>
      </c>
      <c r="D32" s="146">
        <v>803.0</v>
      </c>
      <c r="E32" s="141"/>
      <c r="F32" s="147">
        <v>15.0</v>
      </c>
      <c r="G32" s="148"/>
      <c r="H32" s="148">
        <f>SUM(C32:F32)</f>
        <v>1621</v>
      </c>
      <c r="J32" s="145" t="s">
        <v>113</v>
      </c>
      <c r="K32" s="146"/>
      <c r="L32" s="146">
        <v>803.0</v>
      </c>
      <c r="M32" s="146">
        <v>803.0</v>
      </c>
      <c r="N32" s="121"/>
      <c r="O32" s="121"/>
      <c r="P32" s="148">
        <f>SUM(L32:O32)</f>
        <v>1606</v>
      </c>
      <c r="S32" s="145" t="s">
        <v>113</v>
      </c>
      <c r="T32" s="149"/>
      <c r="U32" s="147">
        <v>1162.0</v>
      </c>
      <c r="V32" s="147">
        <v>280.0</v>
      </c>
      <c r="W32" s="147">
        <v>280.0</v>
      </c>
      <c r="X32" s="147">
        <v>1162.0</v>
      </c>
      <c r="Y32" s="147"/>
      <c r="Z32" s="148">
        <f>SUM(T32:Y32)</f>
        <v>2884</v>
      </c>
      <c r="AA32" s="150"/>
      <c r="AB32" s="145" t="s">
        <v>114</v>
      </c>
      <c r="AC32" s="147">
        <v>705.0</v>
      </c>
      <c r="AD32" s="147">
        <v>705.0</v>
      </c>
      <c r="AE32" s="147">
        <v>460.0</v>
      </c>
      <c r="AF32" s="147"/>
      <c r="AG32" s="147"/>
      <c r="AH32" s="148">
        <f>SUM(AC32:AG32)</f>
        <v>1870</v>
      </c>
    </row>
    <row r="33">
      <c r="B33" s="145" t="s">
        <v>115</v>
      </c>
      <c r="C33" s="151">
        <v>3.35</v>
      </c>
      <c r="D33" s="151">
        <v>2.55</v>
      </c>
      <c r="E33" s="141"/>
      <c r="F33" s="121">
        <v>3.0</v>
      </c>
      <c r="G33" s="121"/>
      <c r="H33" s="121"/>
      <c r="J33" s="145" t="s">
        <v>115</v>
      </c>
      <c r="K33" s="151"/>
      <c r="L33" s="151">
        <v>3.35</v>
      </c>
      <c r="M33" s="151">
        <v>2.55</v>
      </c>
      <c r="N33" s="121"/>
      <c r="O33" s="121"/>
      <c r="P33" s="121"/>
      <c r="S33" s="145" t="s">
        <v>115</v>
      </c>
      <c r="T33" s="152">
        <v>3.4</v>
      </c>
      <c r="U33" s="151">
        <v>2.55</v>
      </c>
      <c r="V33" s="151">
        <v>1.8</v>
      </c>
      <c r="W33" s="153">
        <v>2.5</v>
      </c>
      <c r="X33" s="151">
        <v>3.35</v>
      </c>
      <c r="Y33" s="153">
        <v>2.5</v>
      </c>
      <c r="Z33" s="121"/>
      <c r="AA33" s="58"/>
      <c r="AB33" s="154" t="s">
        <v>115</v>
      </c>
      <c r="AC33" s="151">
        <v>3.4</v>
      </c>
      <c r="AD33" s="151">
        <v>2.6</v>
      </c>
      <c r="AE33" s="151">
        <f>AE32/AE34</f>
        <v>1.769230769</v>
      </c>
      <c r="AF33" s="155"/>
      <c r="AG33" s="155"/>
      <c r="AH33" s="155"/>
    </row>
    <row r="34">
      <c r="B34" s="156" t="s">
        <v>116</v>
      </c>
      <c r="C34" s="157">
        <f t="shared" ref="C34:D34" si="8">C32/C33</f>
        <v>239.7014925</v>
      </c>
      <c r="D34" s="157">
        <f t="shared" si="8"/>
        <v>314.9019608</v>
      </c>
      <c r="E34" s="141"/>
      <c r="F34" s="157">
        <f>F32/F33</f>
        <v>5</v>
      </c>
      <c r="G34" s="158"/>
      <c r="H34" s="158">
        <f>SUM(C34:F34)</f>
        <v>559.6034533</v>
      </c>
      <c r="J34" s="156" t="s">
        <v>116</v>
      </c>
      <c r="K34" s="157"/>
      <c r="L34" s="157">
        <f t="shared" ref="L34:M34" si="9">L32/L33</f>
        <v>239.7014925</v>
      </c>
      <c r="M34" s="157">
        <f t="shared" si="9"/>
        <v>314.9019608</v>
      </c>
      <c r="N34" s="159"/>
      <c r="O34" s="159"/>
      <c r="P34" s="158">
        <f>SUM(L34:O34)</f>
        <v>554.6034533</v>
      </c>
      <c r="S34" s="156" t="s">
        <v>116</v>
      </c>
      <c r="T34" s="160">
        <f t="shared" ref="T34:Y34" si="10">T32/T33</f>
        <v>0</v>
      </c>
      <c r="U34" s="157">
        <f t="shared" si="10"/>
        <v>455.6862745</v>
      </c>
      <c r="V34" s="157">
        <f t="shared" si="10"/>
        <v>155.5555556</v>
      </c>
      <c r="W34" s="157">
        <f t="shared" si="10"/>
        <v>112</v>
      </c>
      <c r="X34" s="157">
        <f t="shared" si="10"/>
        <v>346.8656716</v>
      </c>
      <c r="Y34" s="157">
        <f t="shared" si="10"/>
        <v>0</v>
      </c>
      <c r="Z34" s="158">
        <f>SUM(T34:Y34)</f>
        <v>1070.107502</v>
      </c>
      <c r="AA34" s="161"/>
      <c r="AB34" s="156" t="s">
        <v>116</v>
      </c>
      <c r="AC34" s="157">
        <f t="shared" ref="AC34:AD34" si="11">AC32/AC33</f>
        <v>207.3529412</v>
      </c>
      <c r="AD34" s="157">
        <f t="shared" si="11"/>
        <v>271.1538462</v>
      </c>
      <c r="AE34" s="157">
        <v>260.0</v>
      </c>
      <c r="AF34" s="157"/>
      <c r="AG34" s="157"/>
      <c r="AH34" s="158">
        <f>SUM(AC34:AG34)</f>
        <v>738.5067873</v>
      </c>
    </row>
    <row r="35">
      <c r="B35" s="145" t="s">
        <v>117</v>
      </c>
      <c r="C35" s="146">
        <v>26.0</v>
      </c>
      <c r="D35" s="146">
        <v>26.0</v>
      </c>
      <c r="E35" s="141"/>
      <c r="F35" s="146">
        <v>26.0</v>
      </c>
      <c r="G35" s="121"/>
      <c r="H35" s="121"/>
      <c r="J35" s="145" t="s">
        <v>117</v>
      </c>
      <c r="K35" s="146"/>
      <c r="L35" s="146">
        <v>26.0</v>
      </c>
      <c r="M35" s="146">
        <v>26.0</v>
      </c>
      <c r="N35" s="121"/>
      <c r="O35" s="121"/>
      <c r="P35" s="121"/>
      <c r="S35" s="145" t="s">
        <v>117</v>
      </c>
      <c r="T35" s="162">
        <v>26.0</v>
      </c>
      <c r="U35" s="146">
        <v>26.0</v>
      </c>
      <c r="V35" s="146">
        <v>26.0</v>
      </c>
      <c r="W35" s="146">
        <v>26.0</v>
      </c>
      <c r="X35" s="146">
        <v>26.0</v>
      </c>
      <c r="Y35" s="146">
        <v>26.0</v>
      </c>
      <c r="Z35" s="121"/>
      <c r="AA35" s="58"/>
      <c r="AB35" s="163" t="s">
        <v>117</v>
      </c>
      <c r="AC35" s="146">
        <v>26.0</v>
      </c>
      <c r="AD35" s="146">
        <v>26.0</v>
      </c>
      <c r="AE35" s="146">
        <v>26.0</v>
      </c>
      <c r="AF35" s="147"/>
      <c r="AG35" s="147"/>
      <c r="AH35" s="144"/>
    </row>
    <row r="36">
      <c r="B36" s="164" t="s">
        <v>112</v>
      </c>
      <c r="C36" s="165">
        <f t="shared" ref="C36:D36" si="12">C34*C35</f>
        <v>6232.238806</v>
      </c>
      <c r="D36" s="165">
        <f t="shared" si="12"/>
        <v>8187.45098</v>
      </c>
      <c r="E36" s="166"/>
      <c r="F36" s="165">
        <f>F34*F35</f>
        <v>130</v>
      </c>
      <c r="G36" s="167"/>
      <c r="H36" s="167">
        <f>SUM(C36:F36)</f>
        <v>14549.68979</v>
      </c>
      <c r="J36" s="164" t="s">
        <v>112</v>
      </c>
      <c r="K36" s="165"/>
      <c r="L36" s="165">
        <f t="shared" ref="L36:M36" si="13">L34*L35</f>
        <v>6232.238806</v>
      </c>
      <c r="M36" s="165">
        <f t="shared" si="13"/>
        <v>8187.45098</v>
      </c>
      <c r="N36" s="167"/>
      <c r="O36" s="167"/>
      <c r="P36" s="167">
        <f>SUM(L36:O36)</f>
        <v>14419.68979</v>
      </c>
      <c r="S36" s="164" t="s">
        <v>112</v>
      </c>
      <c r="T36" s="168">
        <f t="shared" ref="T36:Y36" si="14">T34*T35</f>
        <v>0</v>
      </c>
      <c r="U36" s="165">
        <f t="shared" si="14"/>
        <v>11847.84314</v>
      </c>
      <c r="V36" s="165">
        <f t="shared" si="14"/>
        <v>4044.444444</v>
      </c>
      <c r="W36" s="165">
        <f t="shared" si="14"/>
        <v>2912</v>
      </c>
      <c r="X36" s="165">
        <f t="shared" si="14"/>
        <v>9018.507463</v>
      </c>
      <c r="Y36" s="165">
        <f t="shared" si="14"/>
        <v>0</v>
      </c>
      <c r="Z36" s="169">
        <f>SUM(T36:Y36)</f>
        <v>27822.79504</v>
      </c>
      <c r="AA36" s="170"/>
      <c r="AB36" s="164" t="s">
        <v>112</v>
      </c>
      <c r="AC36" s="165">
        <f t="shared" ref="AC36:AE36" si="15">AC34*AC35</f>
        <v>5391.176471</v>
      </c>
      <c r="AD36" s="165">
        <f t="shared" si="15"/>
        <v>7050</v>
      </c>
      <c r="AE36" s="165">
        <f t="shared" si="15"/>
        <v>6760</v>
      </c>
      <c r="AF36" s="165"/>
      <c r="AG36" s="165"/>
      <c r="AH36" s="169">
        <f>SUM(AC36:AG36)</f>
        <v>19201.17647</v>
      </c>
    </row>
    <row r="37">
      <c r="B37" s="171"/>
      <c r="C37" s="155"/>
      <c r="D37" s="155"/>
      <c r="E37" s="141"/>
      <c r="F37" s="121"/>
      <c r="G37" s="121"/>
      <c r="H37" s="121" t="s">
        <v>118</v>
      </c>
      <c r="J37" s="171"/>
      <c r="K37" s="155"/>
      <c r="L37" s="155"/>
      <c r="M37" s="155"/>
      <c r="N37" s="121"/>
      <c r="O37" s="121"/>
      <c r="P37" s="121" t="s">
        <v>118</v>
      </c>
      <c r="S37" s="171"/>
      <c r="T37" s="149"/>
      <c r="U37" s="155"/>
      <c r="V37" s="155"/>
      <c r="W37" s="121"/>
      <c r="X37" s="155"/>
      <c r="Y37" s="121"/>
      <c r="Z37" s="172" t="s">
        <v>118</v>
      </c>
      <c r="AA37" s="173"/>
      <c r="AB37" s="174"/>
      <c r="AC37" s="155"/>
      <c r="AD37" s="155"/>
      <c r="AE37" s="155"/>
      <c r="AF37" s="155"/>
      <c r="AG37" s="155"/>
      <c r="AH37" s="175" t="s">
        <v>118</v>
      </c>
    </row>
    <row r="38">
      <c r="B38" s="145" t="s">
        <v>119</v>
      </c>
      <c r="C38" s="147">
        <v>0.0</v>
      </c>
      <c r="D38" s="147">
        <v>18.0</v>
      </c>
      <c r="E38" s="141"/>
      <c r="F38" s="153">
        <v>2.0</v>
      </c>
      <c r="G38" s="147"/>
      <c r="H38" s="147">
        <f t="shared" ref="H38:H40" si="17">SUM(C38:F38)</f>
        <v>20</v>
      </c>
      <c r="J38" s="145" t="s">
        <v>119</v>
      </c>
      <c r="K38" s="147"/>
      <c r="L38" s="147">
        <v>0.0</v>
      </c>
      <c r="M38" s="147">
        <v>18.0</v>
      </c>
      <c r="N38" s="121"/>
      <c r="O38" s="121"/>
      <c r="P38" s="147">
        <f t="shared" ref="P38:P40" si="19">SUM(L38:O38)</f>
        <v>18</v>
      </c>
      <c r="S38" s="145" t="s">
        <v>119</v>
      </c>
      <c r="T38" s="149">
        <v>0.0</v>
      </c>
      <c r="U38" s="147">
        <v>30.0</v>
      </c>
      <c r="V38" s="147">
        <v>24.0</v>
      </c>
      <c r="W38" s="121"/>
      <c r="X38" s="147"/>
      <c r="Y38" s="121"/>
      <c r="Z38" s="147">
        <f>SUM(T38:W38)</f>
        <v>54</v>
      </c>
      <c r="AA38" s="176"/>
      <c r="AB38" s="154" t="s">
        <v>119</v>
      </c>
      <c r="AC38" s="147">
        <v>0.0</v>
      </c>
      <c r="AD38" s="147">
        <v>15.0</v>
      </c>
      <c r="AE38" s="147">
        <v>10.0</v>
      </c>
      <c r="AF38" s="147"/>
      <c r="AG38" s="147"/>
      <c r="AH38" s="147">
        <f t="shared" ref="AH38:AH40" si="23">SUM(AC38:AG38)</f>
        <v>25</v>
      </c>
    </row>
    <row r="39">
      <c r="B39" s="156" t="s">
        <v>116</v>
      </c>
      <c r="C39" s="157">
        <f t="shared" ref="C39:D39" si="16">C38*4.7</f>
        <v>0</v>
      </c>
      <c r="D39" s="157">
        <f t="shared" si="16"/>
        <v>84.6</v>
      </c>
      <c r="E39" s="141"/>
      <c r="F39" s="157">
        <f>F38*4.7</f>
        <v>9.4</v>
      </c>
      <c r="G39" s="158"/>
      <c r="H39" s="158">
        <f t="shared" si="17"/>
        <v>94</v>
      </c>
      <c r="J39" s="156" t="s">
        <v>116</v>
      </c>
      <c r="K39" s="157"/>
      <c r="L39" s="157">
        <f t="shared" ref="L39:M39" si="18">L38*4.7</f>
        <v>0</v>
      </c>
      <c r="M39" s="157">
        <f t="shared" si="18"/>
        <v>84.6</v>
      </c>
      <c r="N39" s="159"/>
      <c r="O39" s="159"/>
      <c r="P39" s="158">
        <f t="shared" si="19"/>
        <v>84.6</v>
      </c>
      <c r="S39" s="156" t="s">
        <v>116</v>
      </c>
      <c r="T39" s="160">
        <f t="shared" ref="T39:V39" si="20">T38*4.7</f>
        <v>0</v>
      </c>
      <c r="U39" s="157">
        <f t="shared" si="20"/>
        <v>141</v>
      </c>
      <c r="V39" s="157">
        <f t="shared" si="20"/>
        <v>112.8</v>
      </c>
      <c r="W39" s="159"/>
      <c r="X39" s="157">
        <f t="shared" ref="X39:Y39" si="21">X38*4.7</f>
        <v>0</v>
      </c>
      <c r="Y39" s="157">
        <f t="shared" si="21"/>
        <v>0</v>
      </c>
      <c r="Z39" s="158">
        <f t="shared" ref="Z39:Z40" si="28">SUM(T39:Y39)</f>
        <v>253.8</v>
      </c>
      <c r="AA39" s="161"/>
      <c r="AB39" s="177" t="s">
        <v>116</v>
      </c>
      <c r="AC39" s="157">
        <f t="shared" ref="AC39:AE39" si="22">AC38*4.7</f>
        <v>0</v>
      </c>
      <c r="AD39" s="157">
        <f t="shared" si="22"/>
        <v>70.5</v>
      </c>
      <c r="AE39" s="157">
        <f t="shared" si="22"/>
        <v>47</v>
      </c>
      <c r="AF39" s="157"/>
      <c r="AG39" s="157"/>
      <c r="AH39" s="158">
        <f t="shared" si="23"/>
        <v>117.5</v>
      </c>
    </row>
    <row r="40">
      <c r="B40" s="164" t="s">
        <v>120</v>
      </c>
      <c r="C40" s="165">
        <f t="shared" ref="C40:D40" si="24">C39*C35</f>
        <v>0</v>
      </c>
      <c r="D40" s="165">
        <f t="shared" si="24"/>
        <v>2199.6</v>
      </c>
      <c r="E40" s="141"/>
      <c r="F40" s="165">
        <f>F39*F35</f>
        <v>244.4</v>
      </c>
      <c r="G40" s="167"/>
      <c r="H40" s="167">
        <f t="shared" si="17"/>
        <v>2444</v>
      </c>
      <c r="J40" s="164" t="s">
        <v>120</v>
      </c>
      <c r="K40" s="165"/>
      <c r="L40" s="165">
        <f t="shared" ref="L40:M40" si="25">L39*L35</f>
        <v>0</v>
      </c>
      <c r="M40" s="165">
        <f t="shared" si="25"/>
        <v>2199.6</v>
      </c>
      <c r="N40" s="178"/>
      <c r="O40" s="178"/>
      <c r="P40" s="167">
        <f t="shared" si="19"/>
        <v>2199.6</v>
      </c>
      <c r="S40" s="164" t="s">
        <v>120</v>
      </c>
      <c r="T40" s="168">
        <f t="shared" ref="T40:V40" si="26">T39*T35</f>
        <v>0</v>
      </c>
      <c r="U40" s="165">
        <f t="shared" si="26"/>
        <v>3666</v>
      </c>
      <c r="V40" s="165">
        <f t="shared" si="26"/>
        <v>2932.8</v>
      </c>
      <c r="W40" s="178"/>
      <c r="X40" s="165">
        <f t="shared" ref="X40:Y40" si="27">X39*X35</f>
        <v>0</v>
      </c>
      <c r="Y40" s="165">
        <f t="shared" si="27"/>
        <v>0</v>
      </c>
      <c r="Z40" s="169">
        <f t="shared" si="28"/>
        <v>6598.8</v>
      </c>
      <c r="AA40" s="170"/>
      <c r="AB40" s="164" t="s">
        <v>120</v>
      </c>
      <c r="AC40" s="165">
        <f t="shared" ref="AC40:AE40" si="29">AC39*AC35</f>
        <v>0</v>
      </c>
      <c r="AD40" s="165">
        <f t="shared" si="29"/>
        <v>1833</v>
      </c>
      <c r="AE40" s="165">
        <f t="shared" si="29"/>
        <v>1222</v>
      </c>
      <c r="AF40" s="165"/>
      <c r="AG40" s="165"/>
      <c r="AH40" s="169">
        <f t="shared" si="23"/>
        <v>3055</v>
      </c>
    </row>
    <row r="41">
      <c r="B41" s="171"/>
      <c r="C41" s="155"/>
      <c r="D41" s="155"/>
      <c r="E41" s="141"/>
      <c r="F41" s="121"/>
      <c r="G41" s="121"/>
      <c r="H41" s="121" t="s">
        <v>118</v>
      </c>
      <c r="J41" s="171"/>
      <c r="K41" s="155"/>
      <c r="L41" s="155"/>
      <c r="M41" s="155"/>
      <c r="N41" s="121"/>
      <c r="O41" s="121"/>
      <c r="P41" s="121" t="s">
        <v>118</v>
      </c>
      <c r="S41" s="171"/>
      <c r="T41" s="149"/>
      <c r="U41" s="155"/>
      <c r="V41" s="121"/>
      <c r="W41" s="121"/>
      <c r="X41" s="121"/>
      <c r="Y41" s="121"/>
      <c r="Z41" s="172" t="s">
        <v>118</v>
      </c>
      <c r="AA41" s="173"/>
      <c r="AB41" s="179"/>
      <c r="AC41" s="155"/>
      <c r="AD41" s="155"/>
      <c r="AE41" s="155"/>
      <c r="AF41" s="155"/>
      <c r="AG41" s="155"/>
      <c r="AH41" s="148" t="s">
        <v>118</v>
      </c>
    </row>
    <row r="42">
      <c r="B42" s="164" t="s">
        <v>121</v>
      </c>
      <c r="C42" s="180"/>
      <c r="D42" s="165">
        <v>3300.0</v>
      </c>
      <c r="E42" s="166"/>
      <c r="F42" s="181">
        <v>300.0</v>
      </c>
      <c r="G42" s="167"/>
      <c r="H42" s="167">
        <f>SUM(C42:F42)</f>
        <v>3600</v>
      </c>
      <c r="J42" s="164" t="s">
        <v>121</v>
      </c>
      <c r="K42" s="180"/>
      <c r="L42" s="180"/>
      <c r="M42" s="165">
        <v>3300.0</v>
      </c>
      <c r="N42" s="167"/>
      <c r="O42" s="178"/>
      <c r="P42" s="167">
        <f>SUM(L42:O42)</f>
        <v>3300</v>
      </c>
      <c r="S42" s="164" t="s">
        <v>121</v>
      </c>
      <c r="T42" s="149"/>
      <c r="U42" s="165">
        <v>3500.0</v>
      </c>
      <c r="V42" s="169">
        <v>2000.0</v>
      </c>
      <c r="W42" s="178"/>
      <c r="X42" s="169"/>
      <c r="Y42" s="178"/>
      <c r="Z42" s="169">
        <f>SUM(T42:Y42)</f>
        <v>5500</v>
      </c>
      <c r="AA42" s="170"/>
      <c r="AB42" s="164" t="s">
        <v>121</v>
      </c>
      <c r="AC42" s="180"/>
      <c r="AD42" s="165">
        <v>3000.0</v>
      </c>
      <c r="AE42" s="165">
        <v>2000.0</v>
      </c>
      <c r="AF42" s="165"/>
      <c r="AG42" s="165"/>
      <c r="AH42" s="169">
        <f>SUM(AC42:AG42)</f>
        <v>5000</v>
      </c>
    </row>
    <row r="43">
      <c r="B43" s="171"/>
      <c r="C43" s="155"/>
      <c r="D43" s="155"/>
      <c r="E43" s="141"/>
      <c r="F43" s="121"/>
      <c r="G43" s="121"/>
      <c r="H43" s="121" t="s">
        <v>118</v>
      </c>
      <c r="J43" s="171"/>
      <c r="K43" s="155"/>
      <c r="L43" s="155"/>
      <c r="M43" s="155"/>
      <c r="N43" s="121"/>
      <c r="O43" s="121"/>
      <c r="P43" s="121" t="s">
        <v>118</v>
      </c>
      <c r="S43" s="171"/>
      <c r="T43" s="149"/>
      <c r="U43" s="155"/>
      <c r="V43" s="121"/>
      <c r="W43" s="121"/>
      <c r="X43" s="121"/>
      <c r="Y43" s="121"/>
      <c r="Z43" s="172" t="s">
        <v>118</v>
      </c>
      <c r="AA43" s="173"/>
      <c r="AB43" s="179"/>
      <c r="AC43" s="155"/>
      <c r="AD43" s="155"/>
      <c r="AE43" s="155"/>
      <c r="AF43" s="155"/>
      <c r="AG43" s="155"/>
      <c r="AH43" s="148" t="s">
        <v>118</v>
      </c>
    </row>
    <row r="44">
      <c r="B44" s="182" t="s">
        <v>122</v>
      </c>
      <c r="C44" s="183">
        <f t="shared" ref="C44:D44" si="30">C32*5</f>
        <v>4015</v>
      </c>
      <c r="D44" s="183">
        <f t="shared" si="30"/>
        <v>4015</v>
      </c>
      <c r="E44" s="141"/>
      <c r="F44" s="183">
        <f>F32*5</f>
        <v>75</v>
      </c>
      <c r="G44" s="184"/>
      <c r="H44" s="184">
        <f>SUM(C44:F44)</f>
        <v>8105</v>
      </c>
      <c r="J44" s="182" t="s">
        <v>122</v>
      </c>
      <c r="K44" s="183"/>
      <c r="L44" s="183">
        <f t="shared" ref="L44:M44" si="31">L32*5</f>
        <v>4015</v>
      </c>
      <c r="M44" s="183">
        <f t="shared" si="31"/>
        <v>4015</v>
      </c>
      <c r="N44" s="185"/>
      <c r="O44" s="185"/>
      <c r="P44" s="184">
        <f>SUM(L44:O44)</f>
        <v>8030</v>
      </c>
      <c r="S44" s="182" t="s">
        <v>122</v>
      </c>
      <c r="T44" s="149">
        <f t="shared" ref="T44:Y44" si="32">T32*5</f>
        <v>0</v>
      </c>
      <c r="U44" s="183">
        <f t="shared" si="32"/>
        <v>5810</v>
      </c>
      <c r="V44" s="183">
        <f t="shared" si="32"/>
        <v>1400</v>
      </c>
      <c r="W44" s="183">
        <f t="shared" si="32"/>
        <v>1400</v>
      </c>
      <c r="X44" s="183">
        <f t="shared" si="32"/>
        <v>5810</v>
      </c>
      <c r="Y44" s="183">
        <f t="shared" si="32"/>
        <v>0</v>
      </c>
      <c r="Z44" s="184">
        <f>SUM(T44:Y44)</f>
        <v>14420</v>
      </c>
      <c r="AA44" s="150"/>
      <c r="AB44" s="182" t="s">
        <v>122</v>
      </c>
      <c r="AC44" s="183">
        <f t="shared" ref="AC44:AE44" si="33">AC32*5</f>
        <v>3525</v>
      </c>
      <c r="AD44" s="183">
        <f t="shared" si="33"/>
        <v>3525</v>
      </c>
      <c r="AE44" s="183">
        <f t="shared" si="33"/>
        <v>2300</v>
      </c>
      <c r="AF44" s="183"/>
      <c r="AG44" s="183"/>
      <c r="AH44" s="184">
        <f>SUM(AC44:AG44)</f>
        <v>9350</v>
      </c>
    </row>
    <row r="45">
      <c r="B45" s="186"/>
      <c r="C45" s="187"/>
      <c r="D45" s="187"/>
      <c r="E45" s="188"/>
      <c r="F45" s="136"/>
      <c r="G45" s="136"/>
      <c r="H45" s="136"/>
      <c r="J45" s="186"/>
      <c r="K45" s="187"/>
      <c r="L45" s="187"/>
      <c r="M45" s="187"/>
      <c r="N45" s="136"/>
      <c r="O45" s="136"/>
      <c r="P45" s="136"/>
      <c r="S45" s="186"/>
      <c r="T45" s="189"/>
      <c r="U45" s="187"/>
      <c r="V45" s="136"/>
      <c r="W45" s="136"/>
      <c r="X45" s="136"/>
      <c r="Y45" s="136"/>
      <c r="Z45" s="136"/>
      <c r="AA45" s="58"/>
      <c r="AB45" s="190"/>
      <c r="AC45" s="187"/>
      <c r="AD45" s="187"/>
      <c r="AE45" s="191"/>
      <c r="AF45" s="191"/>
      <c r="AG45" s="191"/>
      <c r="AH45" s="191"/>
    </row>
    <row r="46">
      <c r="B46" s="192" t="s">
        <v>123</v>
      </c>
      <c r="C46" s="193">
        <f t="shared" ref="C46:F46" si="34">C36+C40+C42+C44</f>
        <v>10247.23881</v>
      </c>
      <c r="D46" s="193">
        <f t="shared" si="34"/>
        <v>17702.05098</v>
      </c>
      <c r="E46" s="194">
        <f t="shared" si="34"/>
        <v>0</v>
      </c>
      <c r="F46" s="195">
        <f t="shared" si="34"/>
        <v>749.4</v>
      </c>
      <c r="G46" s="196"/>
      <c r="H46" s="196">
        <f>SUM(C46:F46)</f>
        <v>28698.68979</v>
      </c>
      <c r="J46" s="192" t="s">
        <v>123</v>
      </c>
      <c r="K46" s="193"/>
      <c r="L46" s="193">
        <f t="shared" ref="L46:O46" si="35">L36+L40+L42+L44</f>
        <v>10247.23881</v>
      </c>
      <c r="M46" s="193">
        <f t="shared" si="35"/>
        <v>17702.05098</v>
      </c>
      <c r="N46" s="195">
        <f t="shared" si="35"/>
        <v>0</v>
      </c>
      <c r="O46" s="195">
        <f t="shared" si="35"/>
        <v>0</v>
      </c>
      <c r="P46" s="196">
        <f>SUM(L46:O46)</f>
        <v>27949.28979</v>
      </c>
      <c r="S46" s="192" t="s">
        <v>123</v>
      </c>
      <c r="T46" s="193">
        <f t="shared" ref="T46:Y46" si="36">T36+T40+T42+T44</f>
        <v>0</v>
      </c>
      <c r="U46" s="193">
        <f t="shared" si="36"/>
        <v>24823.84314</v>
      </c>
      <c r="V46" s="195">
        <f t="shared" si="36"/>
        <v>10377.24444</v>
      </c>
      <c r="W46" s="195">
        <f t="shared" si="36"/>
        <v>4312</v>
      </c>
      <c r="X46" s="195">
        <f t="shared" si="36"/>
        <v>14828.50746</v>
      </c>
      <c r="Y46" s="195">
        <f t="shared" si="36"/>
        <v>0</v>
      </c>
      <c r="Z46" s="196">
        <f>SUM(T46:Y46)</f>
        <v>54341.59504</v>
      </c>
      <c r="AA46" s="197"/>
      <c r="AB46" s="198" t="s">
        <v>123</v>
      </c>
      <c r="AC46" s="199">
        <f t="shared" ref="AC46:AG46" si="37">AC36+AC40+AC42+AC44</f>
        <v>8916.176471</v>
      </c>
      <c r="AD46" s="199">
        <f t="shared" si="37"/>
        <v>15408</v>
      </c>
      <c r="AE46" s="199">
        <f t="shared" si="37"/>
        <v>12282</v>
      </c>
      <c r="AF46" s="199">
        <f t="shared" si="37"/>
        <v>0</v>
      </c>
      <c r="AG46" s="199">
        <f t="shared" si="37"/>
        <v>0</v>
      </c>
      <c r="AH46" s="199">
        <f>SUM(AC46:AG46)</f>
        <v>36606.17647</v>
      </c>
    </row>
    <row r="51">
      <c r="B51" s="58"/>
      <c r="C51" s="58"/>
      <c r="D51" s="58"/>
      <c r="E51" s="58"/>
    </row>
    <row r="52">
      <c r="B52" s="58"/>
      <c r="C52" s="123"/>
      <c r="D52" s="123"/>
      <c r="E52" s="123"/>
    </row>
    <row r="54">
      <c r="I54" s="58"/>
    </row>
    <row r="73">
      <c r="J73" s="200" t="s">
        <v>124</v>
      </c>
    </row>
    <row r="74">
      <c r="J74" s="58"/>
      <c r="K74" s="58"/>
      <c r="L74" s="123"/>
      <c r="M74" s="123"/>
      <c r="N74" s="123"/>
      <c r="O74" s="123"/>
      <c r="P74" s="123"/>
    </row>
    <row r="75">
      <c r="J75" s="58"/>
      <c r="K75" s="58"/>
      <c r="L75" s="201" t="s">
        <v>125</v>
      </c>
      <c r="M75" s="202"/>
      <c r="N75" s="202"/>
      <c r="O75" s="202"/>
      <c r="P75" s="203"/>
      <c r="R75" s="121"/>
      <c r="S75" s="122" t="s">
        <v>126</v>
      </c>
      <c r="T75" s="44"/>
      <c r="U75" s="44"/>
      <c r="V75" s="44"/>
      <c r="W75" s="45"/>
      <c r="Y75" s="121"/>
      <c r="Z75" s="122" t="s">
        <v>127</v>
      </c>
      <c r="AA75" s="44"/>
      <c r="AB75" s="44"/>
      <c r="AC75" s="44"/>
      <c r="AD75" s="44"/>
      <c r="AE75" s="45"/>
    </row>
    <row r="76">
      <c r="J76" s="58"/>
      <c r="K76" s="58"/>
      <c r="L76" s="123"/>
      <c r="M76" s="123"/>
      <c r="N76" s="58"/>
      <c r="O76" s="58"/>
      <c r="P76" s="58"/>
      <c r="R76" s="58"/>
      <c r="S76" s="123"/>
      <c r="T76" s="123"/>
      <c r="U76" s="123"/>
      <c r="V76" s="123"/>
      <c r="W76" s="123"/>
      <c r="Y76" s="124" t="s">
        <v>94</v>
      </c>
      <c r="Z76" s="75">
        <v>851.0</v>
      </c>
      <c r="AA76" s="124">
        <v>851.0</v>
      </c>
      <c r="AB76" s="124">
        <v>183.0</v>
      </c>
      <c r="AC76" s="124">
        <v>183.0</v>
      </c>
      <c r="AD76" s="124">
        <v>966.0</v>
      </c>
      <c r="AE76" s="58"/>
    </row>
    <row r="77">
      <c r="J77" s="58"/>
      <c r="K77" s="58"/>
      <c r="L77" s="138" t="s">
        <v>128</v>
      </c>
      <c r="M77" s="138" t="s">
        <v>128</v>
      </c>
      <c r="N77" s="123"/>
      <c r="O77" s="133" t="s">
        <v>103</v>
      </c>
      <c r="P77" s="204"/>
      <c r="R77" s="58"/>
      <c r="S77" s="129" t="s">
        <v>99</v>
      </c>
      <c r="T77" s="129" t="s">
        <v>99</v>
      </c>
      <c r="U77" s="128" t="s">
        <v>98</v>
      </c>
      <c r="V77" s="128" t="s">
        <v>98</v>
      </c>
      <c r="W77" s="130" t="s">
        <v>100</v>
      </c>
      <c r="Y77" s="121"/>
      <c r="Z77" s="128" t="s">
        <v>101</v>
      </c>
      <c r="AA77" s="129" t="s">
        <v>129</v>
      </c>
      <c r="AB77" s="132" t="s">
        <v>102</v>
      </c>
      <c r="AC77" s="133"/>
      <c r="AD77" s="133"/>
      <c r="AE77" s="130" t="s">
        <v>100</v>
      </c>
    </row>
    <row r="78">
      <c r="J78" s="58"/>
      <c r="K78" s="136"/>
      <c r="L78" s="128" t="s">
        <v>98</v>
      </c>
      <c r="M78" s="129" t="s">
        <v>99</v>
      </c>
      <c r="N78" s="188"/>
      <c r="O78" s="125" t="s">
        <v>95</v>
      </c>
      <c r="P78" s="130" t="s">
        <v>100</v>
      </c>
      <c r="R78" s="125" t="s">
        <v>94</v>
      </c>
      <c r="S78" s="205" t="s">
        <v>130</v>
      </c>
      <c r="T78" s="205" t="s">
        <v>106</v>
      </c>
      <c r="U78" s="205" t="s">
        <v>107</v>
      </c>
      <c r="V78" s="205" t="s">
        <v>131</v>
      </c>
      <c r="W78" s="137">
        <v>730.0</v>
      </c>
      <c r="Y78" s="136"/>
      <c r="Z78" s="138" t="s">
        <v>128</v>
      </c>
      <c r="AA78" s="138" t="s">
        <v>128</v>
      </c>
      <c r="AB78" s="138" t="s">
        <v>111</v>
      </c>
      <c r="AC78" s="138"/>
      <c r="AD78" s="138"/>
      <c r="AE78" s="136"/>
    </row>
    <row r="79">
      <c r="J79" s="139" t="s">
        <v>112</v>
      </c>
      <c r="K79" s="140"/>
      <c r="L79" s="140"/>
      <c r="M79" s="140"/>
      <c r="N79" s="141"/>
      <c r="O79" s="140"/>
      <c r="P79" s="121"/>
      <c r="R79" s="139" t="s">
        <v>112</v>
      </c>
      <c r="S79" s="140"/>
      <c r="T79" s="140"/>
      <c r="U79" s="140"/>
      <c r="V79" s="140"/>
      <c r="W79" s="121"/>
      <c r="Y79" s="139" t="s">
        <v>112</v>
      </c>
      <c r="Z79" s="140"/>
      <c r="AA79" s="140"/>
      <c r="AB79" s="140"/>
      <c r="AC79" s="140"/>
      <c r="AD79" s="140"/>
      <c r="AE79" s="121"/>
    </row>
    <row r="80">
      <c r="J80" s="145" t="s">
        <v>113</v>
      </c>
      <c r="K80" s="147"/>
      <c r="L80" s="147">
        <v>885.0</v>
      </c>
      <c r="M80" s="147">
        <v>885.0</v>
      </c>
      <c r="N80" s="141"/>
      <c r="O80" s="147">
        <v>15.0</v>
      </c>
      <c r="P80" s="148">
        <f>SUM(L80:O80)</f>
        <v>1785</v>
      </c>
      <c r="R80" s="145" t="s">
        <v>113</v>
      </c>
      <c r="S80" s="147">
        <v>440.0</v>
      </c>
      <c r="T80" s="147">
        <v>280.0</v>
      </c>
      <c r="U80" s="147">
        <v>280.0</v>
      </c>
      <c r="V80" s="147">
        <v>440.0</v>
      </c>
      <c r="W80" s="148">
        <f>SUM(S80:V80)</f>
        <v>1440</v>
      </c>
      <c r="Y80" s="145" t="s">
        <v>114</v>
      </c>
      <c r="Z80" s="147">
        <v>885.0</v>
      </c>
      <c r="AA80" s="147">
        <v>885.0</v>
      </c>
      <c r="AB80" s="147">
        <v>460.0</v>
      </c>
      <c r="AC80" s="147"/>
      <c r="AD80" s="147"/>
      <c r="AE80" s="148">
        <f>SUM(Z80:AD80)</f>
        <v>2230</v>
      </c>
    </row>
    <row r="81">
      <c r="J81" s="145" t="s">
        <v>115</v>
      </c>
      <c r="K81" s="151"/>
      <c r="L81" s="151">
        <v>3.3</v>
      </c>
      <c r="M81" s="151">
        <v>2.5</v>
      </c>
      <c r="N81" s="141"/>
      <c r="O81" s="121">
        <v>3.0</v>
      </c>
      <c r="P81" s="121"/>
      <c r="R81" s="145" t="s">
        <v>115</v>
      </c>
      <c r="S81" s="151">
        <v>2.5</v>
      </c>
      <c r="T81" s="151">
        <v>1.8</v>
      </c>
      <c r="U81" s="151">
        <v>2.5</v>
      </c>
      <c r="V81" s="153">
        <v>3.3</v>
      </c>
      <c r="W81" s="121"/>
      <c r="Y81" s="145" t="s">
        <v>115</v>
      </c>
      <c r="Z81" s="151">
        <v>3.3</v>
      </c>
      <c r="AA81" s="151">
        <v>2.5</v>
      </c>
      <c r="AB81" s="151">
        <f>AB80/AB82</f>
        <v>1.769230769</v>
      </c>
      <c r="AC81" s="121"/>
      <c r="AD81" s="121"/>
      <c r="AE81" s="121"/>
    </row>
    <row r="82">
      <c r="J82" s="156" t="s">
        <v>116</v>
      </c>
      <c r="K82" s="157"/>
      <c r="L82" s="157">
        <f t="shared" ref="L82:M82" si="38">L80/L81</f>
        <v>268.1818182</v>
      </c>
      <c r="M82" s="157">
        <f t="shared" si="38"/>
        <v>354</v>
      </c>
      <c r="N82" s="141"/>
      <c r="O82" s="157">
        <f>O80/O81</f>
        <v>5</v>
      </c>
      <c r="P82" s="158">
        <f>SUM(L82:O82)</f>
        <v>627.1818182</v>
      </c>
      <c r="R82" s="156" t="s">
        <v>116</v>
      </c>
      <c r="S82" s="157">
        <f t="shared" ref="S82:V82" si="39">S80/S81</f>
        <v>176</v>
      </c>
      <c r="T82" s="157">
        <f t="shared" si="39"/>
        <v>155.5555556</v>
      </c>
      <c r="U82" s="157">
        <f t="shared" si="39"/>
        <v>112</v>
      </c>
      <c r="V82" s="157">
        <f t="shared" si="39"/>
        <v>133.3333333</v>
      </c>
      <c r="W82" s="158">
        <f>SUM(S82:V82)</f>
        <v>576.8888889</v>
      </c>
      <c r="Y82" s="156" t="s">
        <v>116</v>
      </c>
      <c r="Z82" s="157">
        <f t="shared" ref="Z82:AA82" si="40">Z80/Z81</f>
        <v>268.1818182</v>
      </c>
      <c r="AA82" s="157">
        <f t="shared" si="40"/>
        <v>354</v>
      </c>
      <c r="AB82" s="157">
        <v>260.0</v>
      </c>
      <c r="AC82" s="157"/>
      <c r="AD82" s="157"/>
      <c r="AE82" s="158">
        <f>SUM(Z82:AD82)</f>
        <v>882.1818182</v>
      </c>
    </row>
    <row r="83">
      <c r="J83" s="145" t="s">
        <v>117</v>
      </c>
      <c r="K83" s="146"/>
      <c r="L83" s="146">
        <v>26.0</v>
      </c>
      <c r="M83" s="146">
        <v>26.0</v>
      </c>
      <c r="N83" s="141"/>
      <c r="O83" s="146">
        <v>26.0</v>
      </c>
      <c r="P83" s="121"/>
      <c r="R83" s="145" t="s">
        <v>117</v>
      </c>
      <c r="S83" s="146">
        <v>26.0</v>
      </c>
      <c r="T83" s="146">
        <v>26.0</v>
      </c>
      <c r="U83" s="146">
        <v>26.0</v>
      </c>
      <c r="V83" s="146">
        <v>26.0</v>
      </c>
      <c r="W83" s="121"/>
      <c r="Y83" s="145" t="s">
        <v>117</v>
      </c>
      <c r="Z83" s="146">
        <v>26.0</v>
      </c>
      <c r="AA83" s="146">
        <v>26.0</v>
      </c>
      <c r="AB83" s="146">
        <v>26.0</v>
      </c>
      <c r="AC83" s="147"/>
      <c r="AD83" s="147"/>
      <c r="AE83" s="121"/>
    </row>
    <row r="84">
      <c r="J84" s="164" t="s">
        <v>112</v>
      </c>
      <c r="K84" s="165"/>
      <c r="L84" s="165">
        <f t="shared" ref="L84:M84" si="41">L82*L83</f>
        <v>6972.727273</v>
      </c>
      <c r="M84" s="165">
        <f t="shared" si="41"/>
        <v>9204</v>
      </c>
      <c r="N84" s="166"/>
      <c r="O84" s="165">
        <f>O82*O83</f>
        <v>130</v>
      </c>
      <c r="P84" s="167">
        <f>SUM(L84:O84)</f>
        <v>16306.72727</v>
      </c>
      <c r="R84" s="164" t="s">
        <v>112</v>
      </c>
      <c r="S84" s="165">
        <f t="shared" ref="S84:V84" si="42">S82*S83</f>
        <v>4576</v>
      </c>
      <c r="T84" s="165">
        <f t="shared" si="42"/>
        <v>4044.444444</v>
      </c>
      <c r="U84" s="165">
        <f t="shared" si="42"/>
        <v>2912</v>
      </c>
      <c r="V84" s="165">
        <f t="shared" si="42"/>
        <v>3466.666667</v>
      </c>
      <c r="W84" s="169">
        <f>SUM(S84:V84)</f>
        <v>14999.11111</v>
      </c>
      <c r="Y84" s="164" t="s">
        <v>112</v>
      </c>
      <c r="Z84" s="165">
        <f t="shared" ref="Z84:AB84" si="43">Z82*Z83</f>
        <v>6972.727273</v>
      </c>
      <c r="AA84" s="165">
        <f t="shared" si="43"/>
        <v>9204</v>
      </c>
      <c r="AB84" s="165">
        <f t="shared" si="43"/>
        <v>6760</v>
      </c>
      <c r="AC84" s="165"/>
      <c r="AD84" s="165"/>
      <c r="AE84" s="169">
        <f>SUM(Z84:AD84)</f>
        <v>22936.72727</v>
      </c>
    </row>
    <row r="85">
      <c r="J85" s="171"/>
      <c r="K85" s="155"/>
      <c r="L85" s="155"/>
      <c r="M85" s="155"/>
      <c r="N85" s="141"/>
      <c r="O85" s="121"/>
      <c r="P85" s="121" t="s">
        <v>118</v>
      </c>
      <c r="R85" s="171"/>
      <c r="S85" s="155"/>
      <c r="T85" s="155"/>
      <c r="U85" s="155"/>
      <c r="V85" s="121"/>
      <c r="W85" s="172" t="s">
        <v>118</v>
      </c>
      <c r="Y85" s="171"/>
      <c r="Z85" s="155"/>
      <c r="AA85" s="155"/>
      <c r="AB85" s="121"/>
      <c r="AC85" s="121"/>
      <c r="AD85" s="121"/>
      <c r="AE85" s="172" t="s">
        <v>118</v>
      </c>
    </row>
    <row r="86">
      <c r="J86" s="145" t="s">
        <v>119</v>
      </c>
      <c r="K86" s="147"/>
      <c r="L86" s="147">
        <v>0.0</v>
      </c>
      <c r="M86" s="147">
        <v>26.0</v>
      </c>
      <c r="N86" s="141"/>
      <c r="O86" s="153">
        <v>2.0</v>
      </c>
      <c r="P86" s="147">
        <f t="shared" ref="P86:P88" si="45">SUM(L86:O86)</f>
        <v>28</v>
      </c>
      <c r="R86" s="145" t="s">
        <v>119</v>
      </c>
      <c r="S86" s="147">
        <v>12.0</v>
      </c>
      <c r="T86" s="147">
        <v>24.0</v>
      </c>
      <c r="U86" s="147"/>
      <c r="V86" s="121"/>
      <c r="W86" s="147">
        <f t="shared" ref="W86:W88" si="47">SUM(S86:V86)</f>
        <v>36</v>
      </c>
      <c r="Y86" s="145" t="s">
        <v>119</v>
      </c>
      <c r="Z86" s="147">
        <v>0.0</v>
      </c>
      <c r="AA86" s="147">
        <v>24.0</v>
      </c>
      <c r="AB86" s="147">
        <v>10.0</v>
      </c>
      <c r="AC86" s="147"/>
      <c r="AD86" s="147"/>
      <c r="AE86" s="147">
        <f t="shared" ref="AE86:AE88" si="49">SUM(Z86:AD86)</f>
        <v>34</v>
      </c>
    </row>
    <row r="87">
      <c r="J87" s="156" t="s">
        <v>116</v>
      </c>
      <c r="K87" s="157"/>
      <c r="L87" s="157">
        <f t="shared" ref="L87:M87" si="44">L86*4.7</f>
        <v>0</v>
      </c>
      <c r="M87" s="157">
        <f t="shared" si="44"/>
        <v>122.2</v>
      </c>
      <c r="N87" s="141"/>
      <c r="O87" s="157">
        <f>O86*4.7</f>
        <v>9.4</v>
      </c>
      <c r="P87" s="158">
        <f t="shared" si="45"/>
        <v>131.6</v>
      </c>
      <c r="R87" s="156" t="s">
        <v>116</v>
      </c>
      <c r="S87" s="157">
        <f t="shared" ref="S87:V87" si="46">S86*4.7</f>
        <v>56.4</v>
      </c>
      <c r="T87" s="157">
        <f t="shared" si="46"/>
        <v>112.8</v>
      </c>
      <c r="U87" s="157">
        <f t="shared" si="46"/>
        <v>0</v>
      </c>
      <c r="V87" s="157">
        <f t="shared" si="46"/>
        <v>0</v>
      </c>
      <c r="W87" s="158">
        <f t="shared" si="47"/>
        <v>169.2</v>
      </c>
      <c r="Y87" s="156" t="s">
        <v>116</v>
      </c>
      <c r="Z87" s="157">
        <f t="shared" ref="Z87:AB87" si="48">Z86*4.7</f>
        <v>0</v>
      </c>
      <c r="AA87" s="157">
        <f t="shared" si="48"/>
        <v>112.8</v>
      </c>
      <c r="AB87" s="157">
        <f t="shared" si="48"/>
        <v>47</v>
      </c>
      <c r="AC87" s="157"/>
      <c r="AD87" s="157"/>
      <c r="AE87" s="158">
        <f t="shared" si="49"/>
        <v>159.8</v>
      </c>
    </row>
    <row r="88">
      <c r="J88" s="164" t="s">
        <v>120</v>
      </c>
      <c r="K88" s="165"/>
      <c r="L88" s="165">
        <f t="shared" ref="L88:M88" si="50">L87*L83</f>
        <v>0</v>
      </c>
      <c r="M88" s="165">
        <f t="shared" si="50"/>
        <v>3177.2</v>
      </c>
      <c r="N88" s="141"/>
      <c r="O88" s="165">
        <f>O87*O83</f>
        <v>244.4</v>
      </c>
      <c r="P88" s="167">
        <f t="shared" si="45"/>
        <v>3421.6</v>
      </c>
      <c r="R88" s="164" t="s">
        <v>120</v>
      </c>
      <c r="S88" s="165">
        <f t="shared" ref="S88:V88" si="51">S87*S83</f>
        <v>1466.4</v>
      </c>
      <c r="T88" s="165">
        <f t="shared" si="51"/>
        <v>2932.8</v>
      </c>
      <c r="U88" s="165">
        <f t="shared" si="51"/>
        <v>0</v>
      </c>
      <c r="V88" s="165">
        <f t="shared" si="51"/>
        <v>0</v>
      </c>
      <c r="W88" s="169">
        <f t="shared" si="47"/>
        <v>4399.2</v>
      </c>
      <c r="Y88" s="164" t="s">
        <v>120</v>
      </c>
      <c r="Z88" s="165">
        <f t="shared" ref="Z88:AB88" si="52">Z87*Z83</f>
        <v>0</v>
      </c>
      <c r="AA88" s="165">
        <f t="shared" si="52"/>
        <v>2932.8</v>
      </c>
      <c r="AB88" s="165">
        <f t="shared" si="52"/>
        <v>1222</v>
      </c>
      <c r="AC88" s="165"/>
      <c r="AD88" s="165"/>
      <c r="AE88" s="169">
        <f t="shared" si="49"/>
        <v>4154.8</v>
      </c>
    </row>
    <row r="89">
      <c r="J89" s="171"/>
      <c r="K89" s="155"/>
      <c r="L89" s="155"/>
      <c r="M89" s="155"/>
      <c r="N89" s="141"/>
      <c r="O89" s="121"/>
      <c r="P89" s="121" t="s">
        <v>118</v>
      </c>
      <c r="R89" s="171"/>
      <c r="S89" s="155"/>
      <c r="T89" s="155"/>
      <c r="U89" s="121"/>
      <c r="V89" s="121"/>
      <c r="W89" s="172" t="s">
        <v>118</v>
      </c>
      <c r="Y89" s="171"/>
      <c r="Z89" s="155"/>
      <c r="AA89" s="155"/>
      <c r="AB89" s="155"/>
      <c r="AC89" s="155"/>
      <c r="AD89" s="155"/>
      <c r="AE89" s="172" t="s">
        <v>118</v>
      </c>
    </row>
    <row r="90">
      <c r="J90" s="164" t="s">
        <v>121</v>
      </c>
      <c r="K90" s="180"/>
      <c r="L90" s="180"/>
      <c r="M90" s="165">
        <v>3500.0</v>
      </c>
      <c r="N90" s="166"/>
      <c r="O90" s="181">
        <v>300.0</v>
      </c>
      <c r="P90" s="167">
        <f>SUM(L90:O90)</f>
        <v>3800</v>
      </c>
      <c r="R90" s="164" t="s">
        <v>121</v>
      </c>
      <c r="S90" s="165">
        <v>1500.0</v>
      </c>
      <c r="T90" s="165">
        <v>2000.0</v>
      </c>
      <c r="U90" s="169"/>
      <c r="V90" s="178"/>
      <c r="W90" s="169">
        <f>SUM(S90:V90)</f>
        <v>3500</v>
      </c>
      <c r="Y90" s="164" t="s">
        <v>121</v>
      </c>
      <c r="Z90" s="180"/>
      <c r="AA90" s="165">
        <v>3500.0</v>
      </c>
      <c r="AB90" s="165">
        <v>2000.0</v>
      </c>
      <c r="AC90" s="165"/>
      <c r="AD90" s="165"/>
      <c r="AE90" s="169">
        <f>SUM(Z90:AD90)</f>
        <v>5500</v>
      </c>
    </row>
    <row r="91">
      <c r="J91" s="171"/>
      <c r="K91" s="155"/>
      <c r="L91" s="155"/>
      <c r="M91" s="155"/>
      <c r="N91" s="141"/>
      <c r="O91" s="121"/>
      <c r="P91" s="121" t="s">
        <v>118</v>
      </c>
      <c r="R91" s="171"/>
      <c r="S91" s="155"/>
      <c r="T91" s="155"/>
      <c r="U91" s="121"/>
      <c r="V91" s="121"/>
      <c r="W91" s="172" t="s">
        <v>118</v>
      </c>
      <c r="Y91" s="171"/>
      <c r="Z91" s="155"/>
      <c r="AA91" s="155"/>
      <c r="AB91" s="155"/>
      <c r="AC91" s="155"/>
      <c r="AD91" s="155"/>
      <c r="AE91" s="172" t="s">
        <v>118</v>
      </c>
    </row>
    <row r="92">
      <c r="J92" s="182" t="s">
        <v>122</v>
      </c>
      <c r="K92" s="183"/>
      <c r="L92" s="183">
        <f t="shared" ref="L92:M92" si="53">L80*5</f>
        <v>4425</v>
      </c>
      <c r="M92" s="183">
        <f t="shared" si="53"/>
        <v>4425</v>
      </c>
      <c r="N92" s="141"/>
      <c r="O92" s="183">
        <f>O80*5</f>
        <v>75</v>
      </c>
      <c r="P92" s="184">
        <f>SUM(L92:O92)</f>
        <v>8925</v>
      </c>
      <c r="R92" s="182" t="s">
        <v>122</v>
      </c>
      <c r="S92" s="183">
        <f t="shared" ref="S92:V92" si="54">S80*5</f>
        <v>2200</v>
      </c>
      <c r="T92" s="183">
        <f t="shared" si="54"/>
        <v>1400</v>
      </c>
      <c r="U92" s="183">
        <f t="shared" si="54"/>
        <v>1400</v>
      </c>
      <c r="V92" s="183">
        <f t="shared" si="54"/>
        <v>2200</v>
      </c>
      <c r="W92" s="184">
        <f>SUM(S92:V92)</f>
        <v>7200</v>
      </c>
      <c r="Y92" s="182" t="s">
        <v>122</v>
      </c>
      <c r="Z92" s="183">
        <f t="shared" ref="Z92:AB92" si="55">Z80*5</f>
        <v>4425</v>
      </c>
      <c r="AA92" s="183">
        <f t="shared" si="55"/>
        <v>4425</v>
      </c>
      <c r="AB92" s="183">
        <f t="shared" si="55"/>
        <v>2300</v>
      </c>
      <c r="AC92" s="183"/>
      <c r="AD92" s="183"/>
      <c r="AE92" s="184">
        <f>SUM(Z92:AD92)</f>
        <v>11150</v>
      </c>
    </row>
    <row r="93">
      <c r="J93" s="186"/>
      <c r="K93" s="187"/>
      <c r="L93" s="187"/>
      <c r="M93" s="187"/>
      <c r="N93" s="188"/>
      <c r="O93" s="136"/>
      <c r="P93" s="136"/>
      <c r="R93" s="186"/>
      <c r="S93" s="187"/>
      <c r="T93" s="187"/>
      <c r="U93" s="136"/>
      <c r="V93" s="136"/>
      <c r="W93" s="136"/>
      <c r="Y93" s="186"/>
      <c r="Z93" s="187"/>
      <c r="AA93" s="187"/>
      <c r="AB93" s="136"/>
      <c r="AC93" s="136"/>
      <c r="AD93" s="136"/>
      <c r="AE93" s="136"/>
    </row>
    <row r="94">
      <c r="J94" s="192" t="s">
        <v>123</v>
      </c>
      <c r="K94" s="195"/>
      <c r="L94" s="195">
        <f t="shared" ref="L94:O94" si="56">L84+L88+L90+L92</f>
        <v>11397.72727</v>
      </c>
      <c r="M94" s="195">
        <f t="shared" si="56"/>
        <v>20306.2</v>
      </c>
      <c r="N94" s="194">
        <f t="shared" si="56"/>
        <v>0</v>
      </c>
      <c r="O94" s="195">
        <f t="shared" si="56"/>
        <v>749.4</v>
      </c>
      <c r="P94" s="196">
        <f>SUM(L94:O94)</f>
        <v>32453.32727</v>
      </c>
      <c r="R94" s="192" t="s">
        <v>123</v>
      </c>
      <c r="S94" s="193">
        <f t="shared" ref="S94:V94" si="57">S84+S88+S90+S92</f>
        <v>9742.4</v>
      </c>
      <c r="T94" s="193">
        <f t="shared" si="57"/>
        <v>10377.24444</v>
      </c>
      <c r="U94" s="195">
        <f t="shared" si="57"/>
        <v>4312</v>
      </c>
      <c r="V94" s="195">
        <f t="shared" si="57"/>
        <v>5666.666667</v>
      </c>
      <c r="W94" s="196">
        <f>SUM(S94:V94)</f>
        <v>30098.31111</v>
      </c>
      <c r="Y94" s="198" t="s">
        <v>123</v>
      </c>
      <c r="Z94" s="199">
        <f t="shared" ref="Z94:AD94" si="58">Z84+Z88+Z90+Z92</f>
        <v>11397.72727</v>
      </c>
      <c r="AA94" s="199">
        <f t="shared" si="58"/>
        <v>20061.8</v>
      </c>
      <c r="AB94" s="199">
        <f t="shared" si="58"/>
        <v>12282</v>
      </c>
      <c r="AC94" s="199">
        <f t="shared" si="58"/>
        <v>0</v>
      </c>
      <c r="AD94" s="199">
        <f t="shared" si="58"/>
        <v>0</v>
      </c>
      <c r="AE94" s="199">
        <f>SUM(Z94:AD94)</f>
        <v>43741.52727</v>
      </c>
    </row>
    <row r="95">
      <c r="J95" s="58"/>
      <c r="K95" s="58"/>
      <c r="L95" s="58"/>
      <c r="M95" s="58"/>
      <c r="R95" s="58"/>
      <c r="S95" s="58"/>
    </row>
    <row r="96">
      <c r="J96" s="58"/>
      <c r="K96" s="58"/>
      <c r="L96" s="58"/>
      <c r="M96" s="58"/>
      <c r="R96" s="58"/>
      <c r="S96" s="58"/>
    </row>
    <row r="97">
      <c r="J97" s="58"/>
      <c r="K97" s="58"/>
      <c r="L97" s="58"/>
      <c r="M97" s="58"/>
      <c r="R97" s="58"/>
      <c r="S97" s="58"/>
    </row>
    <row r="98">
      <c r="B98" s="121"/>
      <c r="C98" s="122" t="s">
        <v>132</v>
      </c>
      <c r="D98" s="44"/>
      <c r="E98" s="44"/>
      <c r="F98" s="44"/>
      <c r="G98" s="44"/>
      <c r="H98" s="45"/>
      <c r="I98" s="58"/>
      <c r="J98" s="121"/>
      <c r="K98" s="206"/>
      <c r="L98" s="122" t="s">
        <v>133</v>
      </c>
      <c r="M98" s="44"/>
      <c r="N98" s="44"/>
      <c r="O98" s="44"/>
      <c r="P98" s="45"/>
      <c r="S98" s="58"/>
    </row>
    <row r="99">
      <c r="B99" s="58"/>
      <c r="C99" s="123"/>
      <c r="D99" s="123"/>
      <c r="E99" s="123"/>
      <c r="F99" s="123"/>
      <c r="G99" s="123"/>
      <c r="H99" s="123"/>
      <c r="I99" s="58"/>
      <c r="J99" s="58"/>
      <c r="K99" s="58"/>
      <c r="L99" s="123"/>
      <c r="M99" s="123"/>
      <c r="N99" s="123"/>
      <c r="O99" s="123"/>
      <c r="P99" s="123"/>
      <c r="S99" s="58"/>
    </row>
    <row r="100">
      <c r="B100" s="121"/>
      <c r="C100" s="128" t="s">
        <v>98</v>
      </c>
      <c r="D100" s="129" t="s">
        <v>99</v>
      </c>
      <c r="E100" s="133"/>
      <c r="F100" s="133" t="s">
        <v>103</v>
      </c>
      <c r="G100" s="130"/>
      <c r="H100" s="130" t="s">
        <v>100</v>
      </c>
      <c r="I100" s="58"/>
      <c r="J100" s="121"/>
      <c r="K100" s="207"/>
      <c r="L100" s="128" t="s">
        <v>98</v>
      </c>
      <c r="M100" s="129" t="s">
        <v>99</v>
      </c>
      <c r="N100" s="133"/>
      <c r="O100" s="133" t="s">
        <v>103</v>
      </c>
      <c r="P100" s="130" t="s">
        <v>100</v>
      </c>
      <c r="S100" s="58"/>
    </row>
    <row r="101">
      <c r="B101" s="125" t="s">
        <v>94</v>
      </c>
      <c r="C101" s="125" t="s">
        <v>134</v>
      </c>
      <c r="D101" s="125" t="s">
        <v>135</v>
      </c>
      <c r="E101" s="125"/>
      <c r="F101" s="125" t="s">
        <v>95</v>
      </c>
      <c r="G101" s="125"/>
      <c r="H101" s="125"/>
      <c r="I101" s="58"/>
      <c r="J101" s="125" t="s">
        <v>94</v>
      </c>
      <c r="K101" s="125"/>
      <c r="L101" s="125" t="s">
        <v>136</v>
      </c>
      <c r="M101" s="125" t="s">
        <v>137</v>
      </c>
      <c r="N101" s="125"/>
      <c r="O101" s="125" t="s">
        <v>95</v>
      </c>
      <c r="P101" s="137">
        <v>730.0</v>
      </c>
      <c r="S101" s="58"/>
    </row>
    <row r="102">
      <c r="B102" s="208" t="s">
        <v>112</v>
      </c>
      <c r="C102" s="140"/>
      <c r="D102" s="140"/>
      <c r="E102" s="140"/>
      <c r="F102" s="140"/>
      <c r="G102" s="121"/>
      <c r="H102" s="121"/>
      <c r="I102" s="58"/>
      <c r="J102" s="209" t="s">
        <v>112</v>
      </c>
      <c r="K102" s="140"/>
      <c r="L102" s="140"/>
      <c r="M102" s="140"/>
      <c r="N102" s="140"/>
      <c r="O102" s="140"/>
      <c r="P102" s="121"/>
      <c r="S102" s="58"/>
    </row>
    <row r="103">
      <c r="B103" s="145" t="s">
        <v>113</v>
      </c>
      <c r="C103" s="147">
        <v>867.0</v>
      </c>
      <c r="D103" s="147">
        <v>867.0</v>
      </c>
      <c r="E103" s="147"/>
      <c r="F103" s="147">
        <v>15.0</v>
      </c>
      <c r="G103" s="148"/>
      <c r="H103" s="148">
        <f>SUM(C103:F103)</f>
        <v>1749</v>
      </c>
      <c r="I103" s="58"/>
      <c r="J103" s="172" t="s">
        <v>113</v>
      </c>
      <c r="K103" s="147"/>
      <c r="L103" s="147">
        <v>1050.0</v>
      </c>
      <c r="M103" s="147">
        <v>1050.0</v>
      </c>
      <c r="N103" s="147"/>
      <c r="O103" s="147">
        <v>15.0</v>
      </c>
      <c r="P103" s="148">
        <f>SUM(L103:O103)</f>
        <v>2115</v>
      </c>
      <c r="S103" s="58"/>
    </row>
    <row r="104">
      <c r="B104" s="210" t="s">
        <v>115</v>
      </c>
      <c r="C104" s="151">
        <v>3.4</v>
      </c>
      <c r="D104" s="151">
        <v>2.6</v>
      </c>
      <c r="E104" s="121"/>
      <c r="F104" s="121">
        <v>3.0</v>
      </c>
      <c r="G104" s="121"/>
      <c r="H104" s="121"/>
      <c r="I104" s="58"/>
      <c r="J104" s="172" t="s">
        <v>115</v>
      </c>
      <c r="K104" s="151"/>
      <c r="L104" s="151">
        <v>3.4</v>
      </c>
      <c r="M104" s="151">
        <v>2.6</v>
      </c>
      <c r="N104" s="151"/>
      <c r="O104" s="151">
        <v>3.0</v>
      </c>
      <c r="P104" s="121"/>
      <c r="S104" s="58"/>
    </row>
    <row r="105">
      <c r="B105" s="156" t="s">
        <v>116</v>
      </c>
      <c r="C105" s="157">
        <f t="shared" ref="C105:D105" si="59">C103/C104</f>
        <v>255</v>
      </c>
      <c r="D105" s="157">
        <f t="shared" si="59"/>
        <v>333.4615385</v>
      </c>
      <c r="E105" s="157"/>
      <c r="F105" s="157">
        <f>F103/F104</f>
        <v>5</v>
      </c>
      <c r="G105" s="158"/>
      <c r="H105" s="158">
        <f>SUM(C105:F105)</f>
        <v>593.4615385</v>
      </c>
      <c r="I105" s="58"/>
      <c r="J105" s="211" t="s">
        <v>116</v>
      </c>
      <c r="K105" s="157"/>
      <c r="L105" s="157">
        <f t="shared" ref="L105:M105" si="60">L103/L104</f>
        <v>308.8235294</v>
      </c>
      <c r="M105" s="157">
        <f t="shared" si="60"/>
        <v>403.8461538</v>
      </c>
      <c r="N105" s="157"/>
      <c r="O105" s="157">
        <f>O103/O104</f>
        <v>5</v>
      </c>
      <c r="P105" s="158">
        <f>SUM(L105:O105)</f>
        <v>717.6696833</v>
      </c>
      <c r="S105" s="58"/>
    </row>
    <row r="106">
      <c r="B106" s="145" t="s">
        <v>117</v>
      </c>
      <c r="C106" s="146">
        <v>26.0</v>
      </c>
      <c r="D106" s="146">
        <v>26.0</v>
      </c>
      <c r="E106" s="147"/>
      <c r="F106" s="146">
        <v>26.0</v>
      </c>
      <c r="G106" s="121"/>
      <c r="H106" s="121"/>
      <c r="I106" s="58"/>
      <c r="J106" s="172" t="s">
        <v>117</v>
      </c>
      <c r="K106" s="146"/>
      <c r="L106" s="146">
        <v>26.0</v>
      </c>
      <c r="M106" s="146">
        <v>26.0</v>
      </c>
      <c r="N106" s="147"/>
      <c r="O106" s="146">
        <v>26.0</v>
      </c>
      <c r="P106" s="121"/>
      <c r="S106" s="58"/>
    </row>
    <row r="107">
      <c r="B107" s="164" t="s">
        <v>112</v>
      </c>
      <c r="C107" s="165">
        <f t="shared" ref="C107:D107" si="61">C105*C106</f>
        <v>6630</v>
      </c>
      <c r="D107" s="165">
        <f t="shared" si="61"/>
        <v>8670</v>
      </c>
      <c r="E107" s="165"/>
      <c r="F107" s="165">
        <f>F105*F106</f>
        <v>130</v>
      </c>
      <c r="G107" s="169"/>
      <c r="H107" s="169">
        <f>SUM(C107:F107)</f>
        <v>15430</v>
      </c>
      <c r="I107" s="58"/>
      <c r="J107" s="212" t="s">
        <v>112</v>
      </c>
      <c r="K107" s="165"/>
      <c r="L107" s="165">
        <f t="shared" ref="L107:M107" si="62">L105*L106</f>
        <v>8029.411765</v>
      </c>
      <c r="M107" s="165">
        <f t="shared" si="62"/>
        <v>10500</v>
      </c>
      <c r="N107" s="165"/>
      <c r="O107" s="165">
        <f>O105*O106</f>
        <v>130</v>
      </c>
      <c r="P107" s="169">
        <f>SUM(L107:O107)</f>
        <v>18659.41176</v>
      </c>
    </row>
    <row r="108">
      <c r="B108" s="213"/>
      <c r="C108" s="155"/>
      <c r="D108" s="155"/>
      <c r="E108" s="121"/>
      <c r="F108" s="121"/>
      <c r="G108" s="172"/>
      <c r="H108" s="172" t="s">
        <v>118</v>
      </c>
      <c r="I108" s="58"/>
      <c r="J108" s="121"/>
      <c r="K108" s="155"/>
      <c r="L108" s="155"/>
      <c r="M108" s="155"/>
      <c r="N108" s="155"/>
      <c r="O108" s="155"/>
      <c r="P108" s="172" t="s">
        <v>118</v>
      </c>
    </row>
    <row r="109">
      <c r="B109" s="210" t="s">
        <v>119</v>
      </c>
      <c r="C109" s="155"/>
      <c r="D109" s="147">
        <v>17.0</v>
      </c>
      <c r="E109" s="121"/>
      <c r="F109" s="153">
        <v>2.0</v>
      </c>
      <c r="G109" s="147"/>
      <c r="H109" s="147">
        <f t="shared" ref="H109:H111" si="64">SUM(C109:F109)</f>
        <v>19</v>
      </c>
      <c r="I109" s="58"/>
      <c r="J109" s="172" t="s">
        <v>119</v>
      </c>
      <c r="K109" s="147"/>
      <c r="L109" s="147">
        <v>0.0</v>
      </c>
      <c r="M109" s="155">
        <v>22.0</v>
      </c>
      <c r="N109" s="155"/>
      <c r="O109" s="147">
        <v>2.0</v>
      </c>
      <c r="P109" s="147">
        <f t="shared" ref="P109:P111" si="66">SUM(L109:O109)</f>
        <v>24</v>
      </c>
    </row>
    <row r="110">
      <c r="B110" s="156" t="s">
        <v>116</v>
      </c>
      <c r="C110" s="157">
        <f t="shared" ref="C110:D110" si="63">C109*4.7</f>
        <v>0</v>
      </c>
      <c r="D110" s="157">
        <f t="shared" si="63"/>
        <v>79.9</v>
      </c>
      <c r="E110" s="157"/>
      <c r="F110" s="157">
        <f>F109*4.7</f>
        <v>9.4</v>
      </c>
      <c r="G110" s="158"/>
      <c r="H110" s="158">
        <f t="shared" si="64"/>
        <v>89.3</v>
      </c>
      <c r="I110" s="58"/>
      <c r="J110" s="211" t="s">
        <v>116</v>
      </c>
      <c r="K110" s="157"/>
      <c r="L110" s="157">
        <f t="shared" ref="L110:M110" si="65">L109*4.7</f>
        <v>0</v>
      </c>
      <c r="M110" s="157">
        <f t="shared" si="65"/>
        <v>103.4</v>
      </c>
      <c r="N110" s="157"/>
      <c r="O110" s="157">
        <f>O109*4.7</f>
        <v>9.4</v>
      </c>
      <c r="P110" s="158">
        <f t="shared" si="66"/>
        <v>112.8</v>
      </c>
    </row>
    <row r="111">
      <c r="B111" s="164" t="s">
        <v>120</v>
      </c>
      <c r="C111" s="165">
        <f t="shared" ref="C111:D111" si="67">C110*C106</f>
        <v>0</v>
      </c>
      <c r="D111" s="165">
        <f t="shared" si="67"/>
        <v>2077.4</v>
      </c>
      <c r="E111" s="165"/>
      <c r="F111" s="165">
        <f>F110*F106</f>
        <v>244.4</v>
      </c>
      <c r="G111" s="169"/>
      <c r="H111" s="169">
        <f t="shared" si="64"/>
        <v>2321.8</v>
      </c>
      <c r="I111" s="58"/>
      <c r="J111" s="212" t="s">
        <v>120</v>
      </c>
      <c r="K111" s="165"/>
      <c r="L111" s="165">
        <f t="shared" ref="L111:M111" si="68">L110*L106</f>
        <v>0</v>
      </c>
      <c r="M111" s="165">
        <f t="shared" si="68"/>
        <v>2688.4</v>
      </c>
      <c r="N111" s="165"/>
      <c r="O111" s="165">
        <f>O110*O106</f>
        <v>244.4</v>
      </c>
      <c r="P111" s="169">
        <f t="shared" si="66"/>
        <v>2932.8</v>
      </c>
    </row>
    <row r="112">
      <c r="B112" s="213"/>
      <c r="C112" s="155"/>
      <c r="D112" s="121"/>
      <c r="E112" s="121"/>
      <c r="F112" s="121"/>
      <c r="G112" s="172"/>
      <c r="H112" s="172" t="s">
        <v>118</v>
      </c>
      <c r="I112" s="58"/>
      <c r="J112" s="121"/>
      <c r="K112" s="155"/>
      <c r="L112" s="155"/>
      <c r="M112" s="155"/>
      <c r="N112" s="121"/>
      <c r="O112" s="121"/>
      <c r="P112" s="172" t="s">
        <v>118</v>
      </c>
    </row>
    <row r="113">
      <c r="B113" s="214" t="s">
        <v>121</v>
      </c>
      <c r="C113" s="180"/>
      <c r="D113" s="169">
        <v>3000.0</v>
      </c>
      <c r="E113" s="178"/>
      <c r="F113" s="181">
        <v>300.0</v>
      </c>
      <c r="G113" s="169"/>
      <c r="H113" s="169">
        <f>SUM(C113:F113)</f>
        <v>3300</v>
      </c>
      <c r="I113" s="58"/>
      <c r="J113" s="212" t="s">
        <v>121</v>
      </c>
      <c r="K113" s="180"/>
      <c r="L113" s="180"/>
      <c r="M113" s="180">
        <v>3500.0</v>
      </c>
      <c r="N113" s="169"/>
      <c r="O113" s="169">
        <v>300.0</v>
      </c>
      <c r="P113" s="169">
        <f>SUM(L113:O113)</f>
        <v>3800</v>
      </c>
    </row>
    <row r="114">
      <c r="B114" s="213"/>
      <c r="C114" s="155"/>
      <c r="D114" s="121"/>
      <c r="E114" s="121"/>
      <c r="F114" s="121"/>
      <c r="G114" s="172"/>
      <c r="H114" s="172" t="s">
        <v>118</v>
      </c>
      <c r="I114" s="58"/>
      <c r="J114" s="121"/>
      <c r="K114" s="155"/>
      <c r="L114" s="155"/>
      <c r="M114" s="155"/>
      <c r="N114" s="121"/>
      <c r="O114" s="121"/>
      <c r="P114" s="172" t="s">
        <v>118</v>
      </c>
    </row>
    <row r="115">
      <c r="B115" s="215" t="s">
        <v>122</v>
      </c>
      <c r="C115" s="183">
        <f t="shared" ref="C115:D115" si="69">C103*5</f>
        <v>4335</v>
      </c>
      <c r="D115" s="183">
        <f t="shared" si="69"/>
        <v>4335</v>
      </c>
      <c r="E115" s="183"/>
      <c r="F115" s="183">
        <f>F103*5</f>
        <v>75</v>
      </c>
      <c r="G115" s="184"/>
      <c r="H115" s="184">
        <f>SUM(C115:F115)</f>
        <v>8745</v>
      </c>
      <c r="I115" s="58"/>
      <c r="J115" s="216" t="s">
        <v>122</v>
      </c>
      <c r="K115" s="183"/>
      <c r="L115" s="183">
        <f t="shared" ref="L115:M115" si="70">L103*5</f>
        <v>5250</v>
      </c>
      <c r="M115" s="183">
        <f t="shared" si="70"/>
        <v>5250</v>
      </c>
      <c r="N115" s="183"/>
      <c r="O115" s="183">
        <f>O103*5</f>
        <v>75</v>
      </c>
      <c r="P115" s="184">
        <f>SUM(L115:O115)</f>
        <v>10575</v>
      </c>
    </row>
    <row r="116">
      <c r="B116" s="217"/>
      <c r="C116" s="187"/>
      <c r="D116" s="136"/>
      <c r="E116" s="136"/>
      <c r="F116" s="136"/>
      <c r="G116" s="136"/>
      <c r="H116" s="136"/>
      <c r="I116" s="58"/>
      <c r="J116" s="136"/>
      <c r="K116" s="187"/>
      <c r="L116" s="187"/>
      <c r="M116" s="187"/>
      <c r="N116" s="136"/>
      <c r="O116" s="136"/>
      <c r="P116" s="136"/>
    </row>
    <row r="117">
      <c r="B117" s="192" t="s">
        <v>123</v>
      </c>
      <c r="C117" s="193">
        <f t="shared" ref="C117:D117" si="71">C107+C111+C113+C115</f>
        <v>10965</v>
      </c>
      <c r="D117" s="195">
        <f t="shared" si="71"/>
        <v>18082.4</v>
      </c>
      <c r="E117" s="195"/>
      <c r="F117" s="195">
        <f>F107+F111+F113+F115</f>
        <v>749.4</v>
      </c>
      <c r="G117" s="196"/>
      <c r="H117" s="196">
        <f>SUM(C117:F117)</f>
        <v>29796.8</v>
      </c>
      <c r="I117" s="58"/>
      <c r="J117" s="218" t="s">
        <v>123</v>
      </c>
      <c r="K117" s="193"/>
      <c r="L117" s="193">
        <f t="shared" ref="L117:M117" si="72">L107+L111+L113+L115</f>
        <v>13279.41176</v>
      </c>
      <c r="M117" s="193">
        <f t="shared" si="72"/>
        <v>21938.4</v>
      </c>
      <c r="N117" s="195"/>
      <c r="O117" s="195">
        <f>O107+O111+O113+O115</f>
        <v>749.4</v>
      </c>
      <c r="P117" s="196">
        <f>SUM(L117:O117)</f>
        <v>35967.21176</v>
      </c>
    </row>
    <row r="118">
      <c r="B118" s="58"/>
      <c r="C118" s="58"/>
      <c r="D118" s="58"/>
      <c r="E118" s="58"/>
      <c r="F118" s="58"/>
      <c r="G118" s="1" t="s">
        <v>138</v>
      </c>
      <c r="H118" s="1">
        <v>35000.0</v>
      </c>
      <c r="I118" s="58"/>
      <c r="J118" s="58"/>
      <c r="K118" s="58"/>
      <c r="L118" s="58"/>
      <c r="M118" s="58"/>
      <c r="N118" s="58"/>
      <c r="O118" s="58"/>
      <c r="P118" s="58"/>
      <c r="Q118" s="58"/>
      <c r="R118" s="58"/>
    </row>
    <row r="119">
      <c r="B119" s="58"/>
      <c r="C119" s="58"/>
      <c r="D119" s="58"/>
      <c r="E119" s="58"/>
      <c r="F119" s="58"/>
      <c r="G119" s="1" t="s">
        <v>139</v>
      </c>
      <c r="H119" s="32">
        <f>H118-H117</f>
        <v>5203.2</v>
      </c>
      <c r="I119" s="58"/>
      <c r="J119" s="58"/>
      <c r="K119" s="58"/>
      <c r="L119" s="58"/>
      <c r="M119" s="58"/>
      <c r="N119" s="58"/>
      <c r="O119" s="58"/>
      <c r="P119" s="58"/>
      <c r="Q119" s="58"/>
      <c r="R119" s="219"/>
    </row>
    <row r="120">
      <c r="B120" s="58"/>
      <c r="C120" s="58"/>
      <c r="D120" s="58"/>
      <c r="E120" s="58"/>
      <c r="F120" s="58"/>
      <c r="G120" s="219"/>
      <c r="H120" s="219"/>
      <c r="I120" s="58"/>
      <c r="J120" s="58"/>
      <c r="K120" s="58"/>
      <c r="L120" s="58"/>
      <c r="M120" s="58"/>
      <c r="N120" s="58"/>
      <c r="O120" s="58"/>
      <c r="P120" s="58"/>
      <c r="Q120" s="58"/>
      <c r="R120" s="219"/>
    </row>
    <row r="121">
      <c r="B121" s="58"/>
      <c r="C121" s="58"/>
      <c r="D121" s="58"/>
      <c r="E121" s="58"/>
      <c r="F121" s="58"/>
      <c r="G121" s="219"/>
      <c r="H121" s="219"/>
      <c r="I121" s="58"/>
      <c r="J121" s="58"/>
      <c r="K121" s="58"/>
      <c r="L121" s="58"/>
      <c r="M121" s="58"/>
      <c r="N121" s="58"/>
      <c r="O121" s="58"/>
      <c r="P121" s="58"/>
      <c r="Q121" s="58"/>
      <c r="R121" s="219"/>
    </row>
    <row r="122">
      <c r="B122" s="58"/>
      <c r="C122" s="58"/>
      <c r="D122" s="58"/>
      <c r="E122" s="58"/>
      <c r="F122" s="58"/>
      <c r="G122" s="219"/>
      <c r="H122" s="219"/>
      <c r="I122" s="58"/>
      <c r="J122" s="58"/>
      <c r="K122" s="58"/>
      <c r="L122" s="58"/>
      <c r="M122" s="58"/>
      <c r="N122" s="58"/>
      <c r="O122" s="58"/>
      <c r="P122" s="58"/>
      <c r="Q122" s="58"/>
      <c r="R122" s="219"/>
    </row>
    <row r="123">
      <c r="B123" s="58"/>
      <c r="C123" s="58"/>
      <c r="D123" s="58"/>
      <c r="E123" s="58"/>
      <c r="F123" s="58"/>
      <c r="G123" s="219"/>
      <c r="H123" s="219"/>
      <c r="I123" s="58"/>
      <c r="J123" s="58"/>
      <c r="K123" s="58"/>
      <c r="L123" s="58"/>
      <c r="M123" s="58"/>
      <c r="N123" s="58"/>
      <c r="O123" s="58"/>
      <c r="P123" s="58"/>
      <c r="Q123" s="58"/>
      <c r="R123" s="219"/>
    </row>
    <row r="124">
      <c r="B124" s="58"/>
      <c r="C124" s="58"/>
      <c r="D124" s="58"/>
      <c r="E124" s="58"/>
      <c r="F124" s="58"/>
      <c r="G124" s="219"/>
      <c r="H124" s="219"/>
      <c r="I124" s="58"/>
      <c r="J124" s="58"/>
      <c r="K124" s="58"/>
      <c r="L124" s="58"/>
      <c r="M124" s="58"/>
      <c r="N124" s="58"/>
      <c r="O124" s="58"/>
      <c r="P124" s="58"/>
      <c r="Q124" s="58"/>
      <c r="R124" s="219"/>
    </row>
    <row r="125">
      <c r="B125" s="58"/>
      <c r="C125" s="219"/>
      <c r="D125" s="219"/>
      <c r="E125" s="219"/>
      <c r="F125" s="219"/>
      <c r="G125" s="219"/>
      <c r="H125" s="219"/>
      <c r="I125" s="58"/>
      <c r="J125" s="58"/>
      <c r="K125" s="58"/>
      <c r="L125" s="58"/>
      <c r="M125" s="58"/>
      <c r="N125" s="58"/>
      <c r="O125" s="58"/>
      <c r="P125" s="58"/>
      <c r="Q125" s="58"/>
      <c r="R125" s="219"/>
    </row>
    <row r="126">
      <c r="B126" s="58"/>
      <c r="C126" s="58"/>
      <c r="D126" s="58"/>
      <c r="E126" s="58"/>
      <c r="F126" s="58"/>
      <c r="G126" s="219"/>
      <c r="H126" s="219"/>
      <c r="I126" s="58"/>
      <c r="J126" s="58"/>
      <c r="K126" s="58"/>
      <c r="L126" s="58"/>
      <c r="M126" s="58"/>
      <c r="N126" s="58"/>
      <c r="O126" s="58"/>
      <c r="P126" s="58"/>
      <c r="Q126" s="58"/>
      <c r="R126" s="219"/>
    </row>
    <row r="127">
      <c r="B127" s="58"/>
      <c r="C127" s="219"/>
      <c r="D127" s="219"/>
      <c r="E127" s="219"/>
      <c r="F127" s="219"/>
      <c r="G127" s="219"/>
      <c r="H127" s="219"/>
      <c r="I127" s="58"/>
      <c r="J127" s="58"/>
      <c r="K127" s="58"/>
      <c r="L127" s="58"/>
      <c r="M127" s="58"/>
      <c r="N127" s="58"/>
      <c r="O127" s="58"/>
      <c r="P127" s="58"/>
      <c r="Q127" s="58"/>
      <c r="R127" s="219"/>
    </row>
    <row r="128">
      <c r="B128" s="58"/>
      <c r="C128" s="123"/>
      <c r="D128" s="123"/>
      <c r="E128" s="123"/>
      <c r="F128" s="123"/>
      <c r="G128" s="123"/>
      <c r="H128" s="123"/>
      <c r="I128" s="58"/>
      <c r="J128" s="58"/>
      <c r="K128" s="58"/>
      <c r="L128" s="58"/>
      <c r="M128" s="58"/>
      <c r="N128" s="123"/>
      <c r="O128" s="123"/>
      <c r="P128" s="123"/>
      <c r="Q128" s="58"/>
      <c r="R128" s="219"/>
    </row>
    <row r="129">
      <c r="B129" s="121"/>
      <c r="C129" s="220" t="s">
        <v>140</v>
      </c>
      <c r="D129" s="202"/>
      <c r="E129" s="202"/>
      <c r="F129" s="202"/>
      <c r="G129" s="202"/>
      <c r="H129" s="203"/>
      <c r="I129" s="58"/>
      <c r="J129" s="58"/>
      <c r="K129" s="58"/>
      <c r="L129" s="221" t="s">
        <v>141</v>
      </c>
      <c r="M129" s="44"/>
      <c r="N129" s="44"/>
      <c r="O129" s="44"/>
      <c r="P129" s="45"/>
      <c r="Q129" s="58"/>
      <c r="R129" s="219"/>
    </row>
    <row r="130">
      <c r="B130" s="58"/>
      <c r="C130" s="123"/>
      <c r="D130" s="123"/>
      <c r="E130" s="123"/>
      <c r="F130" s="123"/>
      <c r="G130" s="123"/>
      <c r="H130" s="123"/>
      <c r="I130" s="58"/>
      <c r="J130" s="58"/>
      <c r="K130" s="58"/>
      <c r="L130" s="123"/>
      <c r="M130" s="123"/>
      <c r="N130" s="123"/>
      <c r="O130" s="123"/>
      <c r="P130" s="123"/>
      <c r="Q130" s="58"/>
      <c r="R130" s="219"/>
    </row>
    <row r="131">
      <c r="B131" s="58"/>
      <c r="C131" s="222" t="s">
        <v>99</v>
      </c>
      <c r="D131" s="129" t="s">
        <v>99</v>
      </c>
      <c r="E131" s="128" t="s">
        <v>98</v>
      </c>
      <c r="F131" s="128" t="s">
        <v>98</v>
      </c>
      <c r="G131" s="130"/>
      <c r="H131" s="130" t="s">
        <v>100</v>
      </c>
      <c r="I131" s="58"/>
      <c r="J131" s="58"/>
      <c r="K131" s="223"/>
      <c r="L131" s="222" t="s">
        <v>99</v>
      </c>
      <c r="M131" s="129" t="s">
        <v>99</v>
      </c>
      <c r="N131" s="128" t="s">
        <v>98</v>
      </c>
      <c r="O131" s="128" t="s">
        <v>98</v>
      </c>
      <c r="P131" s="130" t="s">
        <v>100</v>
      </c>
      <c r="Q131" s="58"/>
      <c r="R131" s="219"/>
    </row>
    <row r="132">
      <c r="B132" s="224" t="s">
        <v>94</v>
      </c>
      <c r="C132" s="225" t="s">
        <v>142</v>
      </c>
      <c r="D132" s="125" t="s">
        <v>106</v>
      </c>
      <c r="E132" s="125" t="s">
        <v>107</v>
      </c>
      <c r="F132" s="125" t="s">
        <v>108</v>
      </c>
      <c r="G132" s="125"/>
      <c r="H132" s="125"/>
      <c r="I132" s="58"/>
      <c r="J132" s="224" t="s">
        <v>94</v>
      </c>
      <c r="K132" s="225"/>
      <c r="L132" s="225" t="s">
        <v>143</v>
      </c>
      <c r="M132" s="125" t="s">
        <v>106</v>
      </c>
      <c r="N132" s="125" t="s">
        <v>107</v>
      </c>
      <c r="O132" s="125" t="s">
        <v>108</v>
      </c>
      <c r="P132" s="125"/>
      <c r="Q132" s="58"/>
      <c r="R132" s="219"/>
    </row>
    <row r="133">
      <c r="B133" s="139" t="s">
        <v>112</v>
      </c>
      <c r="C133" s="226"/>
      <c r="D133" s="140"/>
      <c r="E133" s="140"/>
      <c r="F133" s="140"/>
      <c r="G133" s="121"/>
      <c r="H133" s="121"/>
      <c r="I133" s="58"/>
      <c r="J133" s="139" t="s">
        <v>112</v>
      </c>
      <c r="K133" s="226"/>
      <c r="L133" s="226"/>
      <c r="M133" s="140"/>
      <c r="N133" s="140"/>
      <c r="O133" s="140"/>
      <c r="P133" s="121"/>
    </row>
    <row r="134">
      <c r="B134" s="145" t="s">
        <v>113</v>
      </c>
      <c r="C134" s="227">
        <v>1083.0</v>
      </c>
      <c r="D134" s="147">
        <v>280.0</v>
      </c>
      <c r="E134" s="147">
        <v>280.0</v>
      </c>
      <c r="F134" s="147">
        <v>1162.0</v>
      </c>
      <c r="G134" s="148"/>
      <c r="H134" s="148">
        <f>SUM(C134:F134)</f>
        <v>2805</v>
      </c>
      <c r="I134" s="58"/>
      <c r="J134" s="145" t="s">
        <v>113</v>
      </c>
      <c r="K134" s="227"/>
      <c r="L134" s="227">
        <v>1141.0</v>
      </c>
      <c r="M134" s="147">
        <v>280.0</v>
      </c>
      <c r="N134" s="147">
        <v>280.0</v>
      </c>
      <c r="O134" s="147">
        <v>1162.0</v>
      </c>
      <c r="P134" s="148">
        <f>SUM(L134:O134)</f>
        <v>2863</v>
      </c>
    </row>
    <row r="135">
      <c r="B135" s="145" t="s">
        <v>115</v>
      </c>
      <c r="C135" s="228">
        <v>2.55</v>
      </c>
      <c r="D135" s="151">
        <v>1.8</v>
      </c>
      <c r="E135" s="121">
        <v>2.5</v>
      </c>
      <c r="F135" s="151">
        <v>3.35</v>
      </c>
      <c r="G135" s="121"/>
      <c r="H135" s="121"/>
      <c r="I135" s="58"/>
      <c r="J135" s="145" t="s">
        <v>115</v>
      </c>
      <c r="K135" s="228"/>
      <c r="L135" s="228">
        <v>2.55</v>
      </c>
      <c r="M135" s="151">
        <v>1.8</v>
      </c>
      <c r="N135" s="121">
        <v>2.5</v>
      </c>
      <c r="O135" s="151">
        <v>3.35</v>
      </c>
      <c r="P135" s="121"/>
    </row>
    <row r="136">
      <c r="B136" s="156" t="s">
        <v>116</v>
      </c>
      <c r="C136" s="229">
        <f t="shared" ref="C136:F136" si="73">C134/C135</f>
        <v>424.7058824</v>
      </c>
      <c r="D136" s="157">
        <f t="shared" si="73"/>
        <v>155.5555556</v>
      </c>
      <c r="E136" s="157">
        <f t="shared" si="73"/>
        <v>112</v>
      </c>
      <c r="F136" s="157">
        <f t="shared" si="73"/>
        <v>346.8656716</v>
      </c>
      <c r="G136" s="158"/>
      <c r="H136" s="158">
        <f>SUM(C136:F136)</f>
        <v>1039.12711</v>
      </c>
      <c r="I136" s="58"/>
      <c r="J136" s="156" t="s">
        <v>116</v>
      </c>
      <c r="K136" s="229"/>
      <c r="L136" s="229">
        <f t="shared" ref="L136:O136" si="74">L134/L135</f>
        <v>447.4509804</v>
      </c>
      <c r="M136" s="157">
        <f t="shared" si="74"/>
        <v>155.5555556</v>
      </c>
      <c r="N136" s="157">
        <f t="shared" si="74"/>
        <v>112</v>
      </c>
      <c r="O136" s="157">
        <f t="shared" si="74"/>
        <v>346.8656716</v>
      </c>
      <c r="P136" s="158">
        <f>SUM(L136:O136)</f>
        <v>1061.872208</v>
      </c>
    </row>
    <row r="137">
      <c r="B137" s="145" t="s">
        <v>117</v>
      </c>
      <c r="C137" s="230">
        <v>26.0</v>
      </c>
      <c r="D137" s="146">
        <v>26.0</v>
      </c>
      <c r="E137" s="147"/>
      <c r="F137" s="146">
        <v>26.0</v>
      </c>
      <c r="G137" s="121"/>
      <c r="H137" s="121"/>
      <c r="I137" s="58"/>
      <c r="J137" s="145" t="s">
        <v>117</v>
      </c>
      <c r="K137" s="230"/>
      <c r="L137" s="230">
        <v>26.0</v>
      </c>
      <c r="M137" s="146">
        <v>26.0</v>
      </c>
      <c r="N137" s="146">
        <v>26.0</v>
      </c>
      <c r="O137" s="146">
        <v>26.0</v>
      </c>
      <c r="P137" s="121"/>
    </row>
    <row r="138">
      <c r="B138" s="164" t="s">
        <v>112</v>
      </c>
      <c r="C138" s="231">
        <f t="shared" ref="C138:F138" si="75">C136*C137</f>
        <v>11042.35294</v>
      </c>
      <c r="D138" s="165">
        <f t="shared" si="75"/>
        <v>4044.444444</v>
      </c>
      <c r="E138" s="165">
        <f t="shared" si="75"/>
        <v>0</v>
      </c>
      <c r="F138" s="165">
        <f t="shared" si="75"/>
        <v>9018.507463</v>
      </c>
      <c r="G138" s="169"/>
      <c r="H138" s="169">
        <f>SUM(C138:F138)</f>
        <v>24105.30485</v>
      </c>
      <c r="I138" s="58"/>
      <c r="J138" s="164" t="s">
        <v>112</v>
      </c>
      <c r="K138" s="231"/>
      <c r="L138" s="231">
        <f t="shared" ref="L138:O138" si="76">L136*L137</f>
        <v>11633.72549</v>
      </c>
      <c r="M138" s="165">
        <f t="shared" si="76"/>
        <v>4044.444444</v>
      </c>
      <c r="N138" s="165">
        <f t="shared" si="76"/>
        <v>2912</v>
      </c>
      <c r="O138" s="165">
        <f t="shared" si="76"/>
        <v>9018.507463</v>
      </c>
      <c r="P138" s="169">
        <f>SUM(L138:O138)</f>
        <v>27608.6774</v>
      </c>
    </row>
    <row r="139">
      <c r="B139" s="171"/>
      <c r="C139" s="174"/>
      <c r="D139" s="121"/>
      <c r="E139" s="121"/>
      <c r="F139" s="155"/>
      <c r="G139" s="172"/>
      <c r="H139" s="172" t="s">
        <v>118</v>
      </c>
      <c r="I139" s="58"/>
      <c r="J139" s="171"/>
      <c r="K139" s="174"/>
      <c r="L139" s="174"/>
      <c r="M139" s="121"/>
      <c r="N139" s="121"/>
      <c r="O139" s="155"/>
      <c r="P139" s="172" t="s">
        <v>118</v>
      </c>
    </row>
    <row r="140">
      <c r="B140" s="145" t="s">
        <v>119</v>
      </c>
      <c r="C140" s="174">
        <v>30.0</v>
      </c>
      <c r="D140" s="153">
        <v>24.0</v>
      </c>
      <c r="E140" s="121"/>
      <c r="F140" s="147"/>
      <c r="G140" s="147"/>
      <c r="H140" s="147">
        <f t="shared" ref="H140:H142" si="78">SUM(C140:F140)</f>
        <v>54</v>
      </c>
      <c r="I140" s="58"/>
      <c r="J140" s="145" t="s">
        <v>119</v>
      </c>
      <c r="K140" s="174"/>
      <c r="L140" s="174">
        <v>32.0</v>
      </c>
      <c r="M140" s="153">
        <v>24.0</v>
      </c>
      <c r="N140" s="121"/>
      <c r="O140" s="147"/>
      <c r="P140" s="147">
        <f t="shared" ref="P140:P142" si="80">SUM(L140:O140)</f>
        <v>56</v>
      </c>
    </row>
    <row r="141">
      <c r="B141" s="156" t="s">
        <v>116</v>
      </c>
      <c r="C141" s="229">
        <f>C140*4.7</f>
        <v>141</v>
      </c>
      <c r="D141" s="157"/>
      <c r="E141" s="157">
        <f t="shared" ref="E141:F141" si="77">E140*4.7</f>
        <v>0</v>
      </c>
      <c r="F141" s="157">
        <f t="shared" si="77"/>
        <v>0</v>
      </c>
      <c r="G141" s="158"/>
      <c r="H141" s="158">
        <f t="shared" si="78"/>
        <v>141</v>
      </c>
      <c r="I141" s="58"/>
      <c r="J141" s="156" t="s">
        <v>116</v>
      </c>
      <c r="K141" s="229"/>
      <c r="L141" s="229">
        <f>L140*4.7</f>
        <v>150.4</v>
      </c>
      <c r="M141" s="157"/>
      <c r="N141" s="157">
        <f t="shared" ref="N141:O141" si="79">N140*4.7</f>
        <v>0</v>
      </c>
      <c r="O141" s="157">
        <f t="shared" si="79"/>
        <v>0</v>
      </c>
      <c r="P141" s="158">
        <f t="shared" si="80"/>
        <v>150.4</v>
      </c>
    </row>
    <row r="142">
      <c r="B142" s="164" t="s">
        <v>120</v>
      </c>
      <c r="C142" s="231">
        <f>C141*C137</f>
        <v>3666</v>
      </c>
      <c r="D142" s="165"/>
      <c r="E142" s="165">
        <f t="shared" ref="E142:F142" si="81">E141*E137</f>
        <v>0</v>
      </c>
      <c r="F142" s="165">
        <f t="shared" si="81"/>
        <v>0</v>
      </c>
      <c r="G142" s="169"/>
      <c r="H142" s="169">
        <f t="shared" si="78"/>
        <v>3666</v>
      </c>
      <c r="I142" s="58"/>
      <c r="J142" s="164" t="s">
        <v>120</v>
      </c>
      <c r="K142" s="231"/>
      <c r="L142" s="231">
        <f>L141*L137</f>
        <v>3910.4</v>
      </c>
      <c r="M142" s="165"/>
      <c r="N142" s="165">
        <f t="shared" ref="N142:O142" si="82">N141*N137</f>
        <v>0</v>
      </c>
      <c r="O142" s="165">
        <f t="shared" si="82"/>
        <v>0</v>
      </c>
      <c r="P142" s="169">
        <f t="shared" si="80"/>
        <v>3910.4</v>
      </c>
    </row>
    <row r="143">
      <c r="B143" s="171"/>
      <c r="C143" s="174"/>
      <c r="D143" s="121"/>
      <c r="E143" s="121"/>
      <c r="F143" s="121"/>
      <c r="G143" s="172"/>
      <c r="H143" s="172" t="s">
        <v>118</v>
      </c>
      <c r="I143" s="58"/>
      <c r="J143" s="171"/>
      <c r="K143" s="174"/>
      <c r="L143" s="174"/>
      <c r="M143" s="121"/>
      <c r="N143" s="121"/>
      <c r="O143" s="121"/>
      <c r="P143" s="172" t="s">
        <v>118</v>
      </c>
    </row>
    <row r="144">
      <c r="B144" s="164" t="s">
        <v>121</v>
      </c>
      <c r="C144" s="232">
        <v>3500.0</v>
      </c>
      <c r="D144" s="169">
        <v>2000.0</v>
      </c>
      <c r="E144" s="178"/>
      <c r="F144" s="169"/>
      <c r="G144" s="169"/>
      <c r="H144" s="169">
        <f>SUM(C144:F144)</f>
        <v>5500</v>
      </c>
      <c r="I144" s="58"/>
      <c r="J144" s="164" t="s">
        <v>121</v>
      </c>
      <c r="K144" s="232"/>
      <c r="L144" s="232">
        <v>4000.0</v>
      </c>
      <c r="M144" s="169">
        <v>2000.0</v>
      </c>
      <c r="N144" s="178"/>
      <c r="O144" s="169"/>
      <c r="P144" s="169">
        <f>SUM(L144:O144)</f>
        <v>6000</v>
      </c>
    </row>
    <row r="145">
      <c r="B145" s="171"/>
      <c r="C145" s="174"/>
      <c r="D145" s="121"/>
      <c r="E145" s="121"/>
      <c r="F145" s="121"/>
      <c r="G145" s="172"/>
      <c r="H145" s="172" t="s">
        <v>118</v>
      </c>
      <c r="I145" s="58"/>
      <c r="J145" s="171"/>
      <c r="K145" s="174"/>
      <c r="L145" s="174"/>
      <c r="M145" s="121"/>
      <c r="N145" s="121"/>
      <c r="O145" s="121"/>
      <c r="P145" s="172" t="s">
        <v>118</v>
      </c>
    </row>
    <row r="146">
      <c r="B146" s="182" t="s">
        <v>122</v>
      </c>
      <c r="C146" s="233">
        <f t="shared" ref="C146:D146" si="83">C134*5</f>
        <v>5415</v>
      </c>
      <c r="D146" s="183">
        <f t="shared" si="83"/>
        <v>1400</v>
      </c>
      <c r="E146" s="183"/>
      <c r="F146" s="183">
        <f>F134*5</f>
        <v>5810</v>
      </c>
      <c r="G146" s="184"/>
      <c r="H146" s="184">
        <f>SUM(C146:F146)</f>
        <v>12625</v>
      </c>
      <c r="I146" s="58"/>
      <c r="J146" s="182" t="s">
        <v>122</v>
      </c>
      <c r="K146" s="233"/>
      <c r="L146" s="233">
        <f t="shared" ref="L146:M146" si="84">L134*5</f>
        <v>5705</v>
      </c>
      <c r="M146" s="183">
        <f t="shared" si="84"/>
        <v>1400</v>
      </c>
      <c r="N146" s="183"/>
      <c r="O146" s="183">
        <f>O134*5</f>
        <v>5810</v>
      </c>
      <c r="P146" s="184">
        <f>SUM(L146:O146)</f>
        <v>12915</v>
      </c>
    </row>
    <row r="147">
      <c r="B147" s="186"/>
      <c r="C147" s="234"/>
      <c r="D147" s="136"/>
      <c r="E147" s="136"/>
      <c r="F147" s="136"/>
      <c r="G147" s="136"/>
      <c r="H147" s="136"/>
      <c r="I147" s="58"/>
      <c r="J147" s="186"/>
      <c r="K147" s="234"/>
      <c r="L147" s="234"/>
      <c r="M147" s="136"/>
      <c r="N147" s="136"/>
      <c r="O147" s="136"/>
      <c r="P147" s="136"/>
    </row>
    <row r="148">
      <c r="B148" s="192" t="s">
        <v>123</v>
      </c>
      <c r="C148" s="235">
        <f t="shared" ref="C148:D148" si="85">C138+C142+C144+C146</f>
        <v>23623.35294</v>
      </c>
      <c r="D148" s="195">
        <f t="shared" si="85"/>
        <v>7444.444444</v>
      </c>
      <c r="E148" s="195"/>
      <c r="F148" s="195">
        <f>F138+F142+F144+F146</f>
        <v>14828.50746</v>
      </c>
      <c r="G148" s="196"/>
      <c r="H148" s="196">
        <f>SUM(C148:F148)</f>
        <v>45896.30485</v>
      </c>
      <c r="I148" s="58"/>
      <c r="J148" s="192" t="s">
        <v>123</v>
      </c>
      <c r="K148" s="235"/>
      <c r="L148" s="235">
        <f t="shared" ref="L148:M148" si="86">L138+L142+L144+L146</f>
        <v>25249.12549</v>
      </c>
      <c r="M148" s="195">
        <f t="shared" si="86"/>
        <v>7444.444444</v>
      </c>
      <c r="N148" s="195"/>
      <c r="O148" s="195">
        <f>O138+O142+O144+O146</f>
        <v>14828.50746</v>
      </c>
      <c r="P148" s="196">
        <f>SUM(L148:O148)</f>
        <v>47522.0774</v>
      </c>
    </row>
    <row r="152">
      <c r="B152" s="121"/>
      <c r="C152" s="122" t="s">
        <v>144</v>
      </c>
      <c r="D152" s="44"/>
      <c r="E152" s="44"/>
      <c r="F152" s="44"/>
      <c r="G152" s="45"/>
      <c r="J152" s="236" t="s">
        <v>145</v>
      </c>
      <c r="K152" s="44"/>
      <c r="L152" s="44"/>
      <c r="M152" s="44"/>
      <c r="N152" s="44"/>
      <c r="O152" s="44"/>
      <c r="P152" s="45"/>
      <c r="R152" s="237" t="s">
        <v>146</v>
      </c>
      <c r="S152" s="44"/>
      <c r="T152" s="44"/>
      <c r="U152" s="45"/>
    </row>
    <row r="153">
      <c r="B153" s="58"/>
      <c r="C153" s="123"/>
      <c r="D153" s="123"/>
      <c r="E153" s="123"/>
      <c r="F153" s="123"/>
      <c r="G153" s="123"/>
      <c r="J153" s="58"/>
      <c r="K153" s="58"/>
      <c r="L153" s="58"/>
      <c r="M153" s="58"/>
      <c r="N153" s="58"/>
      <c r="O153" s="58"/>
      <c r="P153" s="58"/>
      <c r="R153" s="58"/>
      <c r="S153" s="58"/>
      <c r="T153" s="58"/>
      <c r="U153" s="58"/>
    </row>
    <row r="154">
      <c r="B154" s="121"/>
      <c r="C154" s="128" t="s">
        <v>98</v>
      </c>
      <c r="D154" s="129" t="s">
        <v>99</v>
      </c>
      <c r="E154" s="133"/>
      <c r="F154" s="133"/>
      <c r="G154" s="130" t="s">
        <v>100</v>
      </c>
      <c r="J154" s="58"/>
      <c r="K154" s="126" t="s">
        <v>147</v>
      </c>
      <c r="L154" s="126" t="s">
        <v>148</v>
      </c>
      <c r="M154" s="123"/>
      <c r="N154" s="123"/>
      <c r="O154" s="123"/>
      <c r="P154" s="123"/>
      <c r="R154" s="58"/>
      <c r="S154" s="123"/>
      <c r="T154" s="123"/>
      <c r="U154" s="123"/>
    </row>
    <row r="155">
      <c r="B155" s="125" t="s">
        <v>94</v>
      </c>
      <c r="C155" s="125" t="s">
        <v>149</v>
      </c>
      <c r="D155" s="125" t="s">
        <v>150</v>
      </c>
      <c r="E155" s="125"/>
      <c r="F155" s="125"/>
      <c r="G155" s="125"/>
      <c r="J155" s="136"/>
      <c r="K155" s="128" t="s">
        <v>98</v>
      </c>
      <c r="L155" s="129" t="s">
        <v>99</v>
      </c>
      <c r="M155" s="188"/>
      <c r="N155" s="188"/>
      <c r="O155" s="130"/>
      <c r="P155" s="130" t="s">
        <v>100</v>
      </c>
      <c r="R155" s="136"/>
      <c r="S155" s="128" t="s">
        <v>98</v>
      </c>
      <c r="T155" s="129" t="s">
        <v>99</v>
      </c>
      <c r="U155" s="238" t="s">
        <v>100</v>
      </c>
    </row>
    <row r="156">
      <c r="B156" s="208" t="s">
        <v>112</v>
      </c>
      <c r="C156" s="140"/>
      <c r="D156" s="140"/>
      <c r="E156" s="140"/>
      <c r="F156" s="140"/>
      <c r="G156" s="121"/>
      <c r="J156" s="139" t="s">
        <v>112</v>
      </c>
      <c r="K156" s="140"/>
      <c r="L156" s="140"/>
      <c r="M156" s="141"/>
      <c r="N156" s="141"/>
      <c r="O156" s="121"/>
      <c r="P156" s="121"/>
      <c r="R156" s="139" t="s">
        <v>112</v>
      </c>
      <c r="S156" s="140"/>
      <c r="T156" s="140"/>
      <c r="U156" s="121"/>
    </row>
    <row r="157">
      <c r="B157" s="145" t="s">
        <v>113</v>
      </c>
      <c r="C157" s="147">
        <v>650.0</v>
      </c>
      <c r="D157" s="147">
        <v>650.0</v>
      </c>
      <c r="E157" s="147"/>
      <c r="F157" s="147"/>
      <c r="G157" s="148">
        <f>SUM(C157:F157)</f>
        <v>1300</v>
      </c>
      <c r="J157" s="145" t="s">
        <v>113</v>
      </c>
      <c r="K157" s="147">
        <v>797.0</v>
      </c>
      <c r="L157" s="147">
        <v>797.0</v>
      </c>
      <c r="M157" s="141"/>
      <c r="N157" s="141"/>
      <c r="O157" s="148"/>
      <c r="P157" s="148">
        <f>SUM(K157:N157)</f>
        <v>1594</v>
      </c>
      <c r="R157" s="145" t="s">
        <v>113</v>
      </c>
      <c r="S157" s="147">
        <v>262.0</v>
      </c>
      <c r="T157" s="147">
        <v>262.0</v>
      </c>
      <c r="U157" s="239">
        <v>1606.0</v>
      </c>
    </row>
    <row r="158">
      <c r="B158" s="210" t="s">
        <v>115</v>
      </c>
      <c r="C158" s="151">
        <v>3.4</v>
      </c>
      <c r="D158" s="151">
        <v>2.6</v>
      </c>
      <c r="E158" s="121"/>
      <c r="F158" s="121"/>
      <c r="G158" s="121"/>
      <c r="J158" s="145" t="s">
        <v>115</v>
      </c>
      <c r="K158" s="151">
        <v>3.35</v>
      </c>
      <c r="L158" s="151">
        <v>2.55</v>
      </c>
      <c r="M158" s="141"/>
      <c r="N158" s="141"/>
      <c r="O158" s="121"/>
      <c r="P158" s="121"/>
      <c r="R158" s="145" t="s">
        <v>115</v>
      </c>
      <c r="S158" s="151">
        <v>3.4</v>
      </c>
      <c r="T158" s="151">
        <v>2.6</v>
      </c>
      <c r="U158" s="121"/>
    </row>
    <row r="159">
      <c r="B159" s="156" t="s">
        <v>116</v>
      </c>
      <c r="C159" s="157">
        <f t="shared" ref="C159:D159" si="87">C157/C158</f>
        <v>191.1764706</v>
      </c>
      <c r="D159" s="157">
        <f t="shared" si="87"/>
        <v>250</v>
      </c>
      <c r="E159" s="157"/>
      <c r="F159" s="157"/>
      <c r="G159" s="158">
        <f>SUM(C159:F159)</f>
        <v>441.1764706</v>
      </c>
      <c r="J159" s="156" t="s">
        <v>116</v>
      </c>
      <c r="K159" s="157">
        <f>K157/K158</f>
        <v>237.9104478</v>
      </c>
      <c r="L159" s="240">
        <f>L157/L158+20</f>
        <v>332.5490196</v>
      </c>
      <c r="M159" s="141"/>
      <c r="N159" s="141"/>
      <c r="O159" s="158"/>
      <c r="P159" s="158">
        <f>SUM(K159:N159)</f>
        <v>570.4594674</v>
      </c>
      <c r="R159" s="156" t="s">
        <v>116</v>
      </c>
      <c r="S159" s="157">
        <f>S157/S158</f>
        <v>77.05882353</v>
      </c>
      <c r="T159" s="240">
        <f>T157/T158+20</f>
        <v>120.7692308</v>
      </c>
      <c r="U159" s="158">
        <f>SUM(S159:T159)</f>
        <v>197.8280543</v>
      </c>
    </row>
    <row r="160">
      <c r="B160" s="145" t="s">
        <v>117</v>
      </c>
      <c r="C160" s="146">
        <v>21.0</v>
      </c>
      <c r="D160" s="146">
        <v>21.0</v>
      </c>
      <c r="E160" s="147"/>
      <c r="F160" s="147"/>
      <c r="G160" s="121"/>
      <c r="J160" s="145" t="s">
        <v>117</v>
      </c>
      <c r="K160" s="146">
        <v>21.0</v>
      </c>
      <c r="L160" s="146">
        <v>21.0</v>
      </c>
      <c r="M160" s="141"/>
      <c r="N160" s="141"/>
      <c r="O160" s="121"/>
      <c r="P160" s="121"/>
      <c r="R160" s="145" t="s">
        <v>117</v>
      </c>
      <c r="S160" s="146">
        <v>21.0</v>
      </c>
      <c r="T160" s="146">
        <v>21.0</v>
      </c>
      <c r="U160" s="121"/>
    </row>
    <row r="161">
      <c r="B161" s="164" t="s">
        <v>112</v>
      </c>
      <c r="C161" s="165">
        <f t="shared" ref="C161:D161" si="88">C159*C160</f>
        <v>4014.705882</v>
      </c>
      <c r="D161" s="165">
        <f t="shared" si="88"/>
        <v>5250</v>
      </c>
      <c r="E161" s="165"/>
      <c r="F161" s="165">
        <f>F159*F160</f>
        <v>0</v>
      </c>
      <c r="G161" s="169">
        <f>SUM(C161:F161)</f>
        <v>9264.705882</v>
      </c>
      <c r="J161" s="164" t="s">
        <v>112</v>
      </c>
      <c r="K161" s="165">
        <f t="shared" ref="K161:L161" si="89">K159*K160</f>
        <v>4996.119403</v>
      </c>
      <c r="L161" s="165">
        <f t="shared" si="89"/>
        <v>6983.529412</v>
      </c>
      <c r="M161" s="166"/>
      <c r="N161" s="166"/>
      <c r="O161" s="169"/>
      <c r="P161" s="169">
        <f>SUM(K161:N161)</f>
        <v>11979.64881</v>
      </c>
      <c r="R161" s="164" t="s">
        <v>112</v>
      </c>
      <c r="S161" s="165">
        <f t="shared" ref="S161:T161" si="90">S159*S160</f>
        <v>1618.235294</v>
      </c>
      <c r="T161" s="165">
        <f t="shared" si="90"/>
        <v>2536.153846</v>
      </c>
      <c r="U161" s="167">
        <f>SUM(S161:T161)</f>
        <v>4154.38914</v>
      </c>
    </row>
    <row r="162">
      <c r="B162" s="213"/>
      <c r="C162" s="155"/>
      <c r="D162" s="155"/>
      <c r="E162" s="121"/>
      <c r="F162" s="121"/>
      <c r="G162" s="172" t="s">
        <v>118</v>
      </c>
      <c r="J162" s="171"/>
      <c r="K162" s="155"/>
      <c r="L162" s="155"/>
      <c r="M162" s="141"/>
      <c r="N162" s="141"/>
      <c r="O162" s="172"/>
      <c r="P162" s="172" t="s">
        <v>118</v>
      </c>
      <c r="R162" s="171"/>
      <c r="S162" s="155"/>
      <c r="T162" s="155"/>
      <c r="U162" s="121" t="s">
        <v>118</v>
      </c>
    </row>
    <row r="163">
      <c r="B163" s="210" t="s">
        <v>119</v>
      </c>
      <c r="C163" s="155"/>
      <c r="D163" s="147">
        <v>17.0</v>
      </c>
      <c r="E163" s="121"/>
      <c r="F163" s="121"/>
      <c r="G163" s="147">
        <f t="shared" ref="G163:G165" si="92">SUM(C163:F163)</f>
        <v>17</v>
      </c>
      <c r="J163" s="145" t="s">
        <v>119</v>
      </c>
      <c r="K163" s="147">
        <v>0.0</v>
      </c>
      <c r="L163" s="147">
        <v>20.0</v>
      </c>
      <c r="M163" s="141"/>
      <c r="N163" s="141"/>
      <c r="O163" s="147"/>
      <c r="P163" s="147">
        <f t="shared" ref="P163:P165" si="94">SUM(K163:N163)</f>
        <v>20</v>
      </c>
      <c r="R163" s="145" t="s">
        <v>119</v>
      </c>
      <c r="S163" s="147">
        <v>0.0</v>
      </c>
      <c r="T163" s="147">
        <v>7.0</v>
      </c>
      <c r="U163" s="147">
        <f t="shared" ref="U163:U165" si="96">SUM(S163:T163)</f>
        <v>7</v>
      </c>
    </row>
    <row r="164">
      <c r="B164" s="156" t="s">
        <v>116</v>
      </c>
      <c r="C164" s="157">
        <f t="shared" ref="C164:D164" si="91">C163*4.7</f>
        <v>0</v>
      </c>
      <c r="D164" s="157">
        <f t="shared" si="91"/>
        <v>79.9</v>
      </c>
      <c r="E164" s="157"/>
      <c r="F164" s="157">
        <f>F163*4.7</f>
        <v>0</v>
      </c>
      <c r="G164" s="158">
        <f t="shared" si="92"/>
        <v>79.9</v>
      </c>
      <c r="J164" s="156" t="s">
        <v>116</v>
      </c>
      <c r="K164" s="157">
        <f t="shared" ref="K164:L164" si="93">K163*4.7</f>
        <v>0</v>
      </c>
      <c r="L164" s="157">
        <f t="shared" si="93"/>
        <v>94</v>
      </c>
      <c r="M164" s="141"/>
      <c r="N164" s="141"/>
      <c r="O164" s="158"/>
      <c r="P164" s="158">
        <f t="shared" si="94"/>
        <v>94</v>
      </c>
      <c r="R164" s="156" t="s">
        <v>116</v>
      </c>
      <c r="S164" s="157">
        <f t="shared" ref="S164:T164" si="95">S163*4.7</f>
        <v>0</v>
      </c>
      <c r="T164" s="157">
        <f t="shared" si="95"/>
        <v>32.9</v>
      </c>
      <c r="U164" s="158">
        <f t="shared" si="96"/>
        <v>32.9</v>
      </c>
    </row>
    <row r="165">
      <c r="B165" s="164" t="s">
        <v>120</v>
      </c>
      <c r="C165" s="165">
        <f t="shared" ref="C165:D165" si="97">C164*C160</f>
        <v>0</v>
      </c>
      <c r="D165" s="165">
        <f t="shared" si="97"/>
        <v>1677.9</v>
      </c>
      <c r="E165" s="165"/>
      <c r="F165" s="165"/>
      <c r="G165" s="169">
        <f t="shared" si="92"/>
        <v>1677.9</v>
      </c>
      <c r="J165" s="164" t="s">
        <v>120</v>
      </c>
      <c r="K165" s="165">
        <f t="shared" ref="K165:L165" si="98">K164*K160</f>
        <v>0</v>
      </c>
      <c r="L165" s="165">
        <f t="shared" si="98"/>
        <v>1974</v>
      </c>
      <c r="M165" s="141"/>
      <c r="N165" s="141"/>
      <c r="O165" s="169"/>
      <c r="P165" s="169">
        <f t="shared" si="94"/>
        <v>1974</v>
      </c>
      <c r="R165" s="164" t="s">
        <v>120</v>
      </c>
      <c r="S165" s="165">
        <f t="shared" ref="S165:T165" si="99">S164*S160</f>
        <v>0</v>
      </c>
      <c r="T165" s="165">
        <f t="shared" si="99"/>
        <v>690.9</v>
      </c>
      <c r="U165" s="167">
        <f t="shared" si="96"/>
        <v>690.9</v>
      </c>
    </row>
    <row r="166">
      <c r="B166" s="213"/>
      <c r="C166" s="155"/>
      <c r="D166" s="121"/>
      <c r="E166" s="121"/>
      <c r="F166" s="121"/>
      <c r="G166" s="172" t="s">
        <v>118</v>
      </c>
      <c r="J166" s="171"/>
      <c r="K166" s="155"/>
      <c r="L166" s="155"/>
      <c r="M166" s="141"/>
      <c r="N166" s="141"/>
      <c r="O166" s="172"/>
      <c r="P166" s="172" t="s">
        <v>118</v>
      </c>
      <c r="R166" s="171"/>
      <c r="S166" s="155"/>
      <c r="T166" s="155"/>
      <c r="U166" s="121" t="s">
        <v>118</v>
      </c>
    </row>
    <row r="167">
      <c r="B167" s="214" t="s">
        <v>121</v>
      </c>
      <c r="C167" s="180"/>
      <c r="D167" s="169">
        <v>2500.0</v>
      </c>
      <c r="E167" s="178"/>
      <c r="F167" s="178"/>
      <c r="G167" s="169">
        <f>SUM(C167:F167)</f>
        <v>2500</v>
      </c>
      <c r="J167" s="164" t="s">
        <v>121</v>
      </c>
      <c r="K167" s="180"/>
      <c r="L167" s="241">
        <v>3000.0</v>
      </c>
      <c r="M167" s="166"/>
      <c r="N167" s="141"/>
      <c r="O167" s="169"/>
      <c r="P167" s="169">
        <f>SUM(K167:N167)</f>
        <v>3000</v>
      </c>
      <c r="R167" s="164" t="s">
        <v>121</v>
      </c>
      <c r="S167" s="180"/>
      <c r="T167" s="241">
        <v>1700.0</v>
      </c>
      <c r="U167" s="167">
        <f>SUM(S167:T167)</f>
        <v>1700</v>
      </c>
    </row>
    <row r="168">
      <c r="B168" s="213"/>
      <c r="C168" s="155"/>
      <c r="D168" s="121"/>
      <c r="E168" s="121"/>
      <c r="F168" s="121"/>
      <c r="G168" s="172" t="s">
        <v>118</v>
      </c>
      <c r="J168" s="171"/>
      <c r="K168" s="155"/>
      <c r="L168" s="155"/>
      <c r="M168" s="141"/>
      <c r="N168" s="141"/>
      <c r="O168" s="172"/>
      <c r="P168" s="172" t="s">
        <v>118</v>
      </c>
      <c r="R168" s="171"/>
      <c r="S168" s="155"/>
      <c r="T168" s="155"/>
      <c r="U168" s="121" t="s">
        <v>118</v>
      </c>
    </row>
    <row r="169">
      <c r="B169" s="215" t="s">
        <v>122</v>
      </c>
      <c r="C169" s="183">
        <f t="shared" ref="C169:D169" si="100">C157*5</f>
        <v>3250</v>
      </c>
      <c r="D169" s="183">
        <f t="shared" si="100"/>
        <v>3250</v>
      </c>
      <c r="E169" s="183"/>
      <c r="F169" s="183">
        <f>F157*5</f>
        <v>0</v>
      </c>
      <c r="G169" s="184">
        <f>SUM(C169:F169)</f>
        <v>6500</v>
      </c>
      <c r="J169" s="182" t="s">
        <v>122</v>
      </c>
      <c r="K169" s="183">
        <f t="shared" ref="K169:L169" si="101">K157*5</f>
        <v>3985</v>
      </c>
      <c r="L169" s="183">
        <f t="shared" si="101"/>
        <v>3985</v>
      </c>
      <c r="M169" s="141"/>
      <c r="N169" s="141"/>
      <c r="O169" s="184"/>
      <c r="P169" s="184">
        <f>SUM(K169:N169)</f>
        <v>7970</v>
      </c>
      <c r="R169" s="182" t="s">
        <v>122</v>
      </c>
      <c r="S169" s="183">
        <f t="shared" ref="S169:T169" si="102">S157*5</f>
        <v>1310</v>
      </c>
      <c r="T169" s="183">
        <f t="shared" si="102"/>
        <v>1310</v>
      </c>
      <c r="U169" s="184">
        <f>SUM(S169:T169)</f>
        <v>2620</v>
      </c>
    </row>
    <row r="170">
      <c r="B170" s="217"/>
      <c r="C170" s="187"/>
      <c r="D170" s="136"/>
      <c r="E170" s="136"/>
      <c r="F170" s="136"/>
      <c r="G170" s="136"/>
      <c r="J170" s="186"/>
      <c r="K170" s="187"/>
      <c r="L170" s="187"/>
      <c r="M170" s="188"/>
      <c r="N170" s="188"/>
      <c r="O170" s="136"/>
      <c r="P170" s="136"/>
      <c r="R170" s="186"/>
      <c r="S170" s="187"/>
      <c r="T170" s="187"/>
      <c r="U170" s="136"/>
    </row>
    <row r="171">
      <c r="B171" s="192" t="s">
        <v>123</v>
      </c>
      <c r="C171" s="193">
        <f t="shared" ref="C171:D171" si="103">C161+C165+C167+C169</f>
        <v>7264.705882</v>
      </c>
      <c r="D171" s="195">
        <f t="shared" si="103"/>
        <v>12677.9</v>
      </c>
      <c r="E171" s="195"/>
      <c r="F171" s="195">
        <f>F161+F165+F167+F169</f>
        <v>0</v>
      </c>
      <c r="G171" s="196">
        <f>SUM(C171:F171)</f>
        <v>19942.60588</v>
      </c>
      <c r="J171" s="192" t="s">
        <v>123</v>
      </c>
      <c r="K171" s="193">
        <f t="shared" ref="K171:N171" si="104">K161+K165+K167+K169</f>
        <v>8981.119403</v>
      </c>
      <c r="L171" s="193">
        <f t="shared" si="104"/>
        <v>15942.52941</v>
      </c>
      <c r="M171" s="194">
        <f t="shared" si="104"/>
        <v>0</v>
      </c>
      <c r="N171" s="194">
        <f t="shared" si="104"/>
        <v>0</v>
      </c>
      <c r="O171" s="196"/>
      <c r="P171" s="196">
        <f>SUM(K171:N171)</f>
        <v>24923.64881</v>
      </c>
      <c r="R171" s="192" t="s">
        <v>123</v>
      </c>
      <c r="S171" s="193">
        <f t="shared" ref="S171:T171" si="105">S161+S165+S167+S169</f>
        <v>2928.235294</v>
      </c>
      <c r="T171" s="193">
        <f t="shared" si="105"/>
        <v>6237.053846</v>
      </c>
      <c r="U171" s="196">
        <f>SUM(S171:T171)</f>
        <v>9165.28914</v>
      </c>
    </row>
    <row r="172">
      <c r="F172" s="1" t="s">
        <v>138</v>
      </c>
      <c r="G172" s="1">
        <v>28000.0</v>
      </c>
      <c r="O172" s="1" t="s">
        <v>138</v>
      </c>
      <c r="P172" s="1">
        <v>35000.0</v>
      </c>
      <c r="T172" s="1" t="s">
        <v>138</v>
      </c>
      <c r="U172" s="1">
        <v>13500.0</v>
      </c>
    </row>
    <row r="173">
      <c r="F173" s="1" t="s">
        <v>139</v>
      </c>
      <c r="G173" s="32">
        <f>G172-G171</f>
        <v>8057.394118</v>
      </c>
      <c r="O173" s="1" t="s">
        <v>139</v>
      </c>
      <c r="P173" s="32">
        <f>P172-P171</f>
        <v>10076.35119</v>
      </c>
      <c r="T173" s="1" t="s">
        <v>139</v>
      </c>
      <c r="U173" s="32">
        <f>U172-U171</f>
        <v>4334.71086</v>
      </c>
    </row>
    <row r="177">
      <c r="R177" s="237" t="s">
        <v>151</v>
      </c>
      <c r="S177" s="44"/>
      <c r="T177" s="44"/>
      <c r="U177" s="45"/>
    </row>
    <row r="178">
      <c r="R178" s="58"/>
      <c r="S178" s="58"/>
      <c r="T178" s="58"/>
      <c r="U178" s="58"/>
    </row>
    <row r="179">
      <c r="R179" s="58"/>
      <c r="S179" s="123"/>
      <c r="T179" s="123"/>
      <c r="U179" s="123"/>
    </row>
    <row r="180">
      <c r="R180" s="136"/>
      <c r="S180" s="128" t="s">
        <v>98</v>
      </c>
      <c r="T180" s="129" t="s">
        <v>99</v>
      </c>
      <c r="U180" s="238" t="s">
        <v>100</v>
      </c>
    </row>
    <row r="181">
      <c r="R181" s="139" t="s">
        <v>112</v>
      </c>
      <c r="S181" s="140"/>
      <c r="T181" s="140"/>
      <c r="U181" s="121"/>
    </row>
    <row r="182">
      <c r="R182" s="145" t="s">
        <v>113</v>
      </c>
      <c r="S182" s="146">
        <f t="shared" ref="S182:T182" si="106">184*1.02</f>
        <v>187.68</v>
      </c>
      <c r="T182" s="146">
        <f t="shared" si="106"/>
        <v>187.68</v>
      </c>
      <c r="U182" s="239">
        <v>1606.0</v>
      </c>
    </row>
    <row r="183">
      <c r="R183" s="145" t="s">
        <v>115</v>
      </c>
      <c r="S183" s="151">
        <v>3.4</v>
      </c>
      <c r="T183" s="151">
        <v>2.6</v>
      </c>
      <c r="U183" s="121"/>
    </row>
    <row r="184">
      <c r="R184" s="156" t="s">
        <v>116</v>
      </c>
      <c r="S184" s="157">
        <f>S182/S183</f>
        <v>55.2</v>
      </c>
      <c r="T184" s="240">
        <f>T182/T183+20</f>
        <v>92.18461538</v>
      </c>
      <c r="U184" s="158">
        <f>SUM(S184:T184)</f>
        <v>147.3846154</v>
      </c>
    </row>
    <row r="185">
      <c r="R185" s="145" t="s">
        <v>117</v>
      </c>
      <c r="S185" s="146">
        <v>21.0</v>
      </c>
      <c r="T185" s="146">
        <v>21.0</v>
      </c>
      <c r="U185" s="121"/>
    </row>
    <row r="186">
      <c r="R186" s="164" t="s">
        <v>112</v>
      </c>
      <c r="S186" s="165">
        <f t="shared" ref="S186:T186" si="107">S184*S185</f>
        <v>1159.2</v>
      </c>
      <c r="T186" s="165">
        <f t="shared" si="107"/>
        <v>1935.876923</v>
      </c>
      <c r="U186" s="167">
        <f>SUM(S186:T186)</f>
        <v>3095.076923</v>
      </c>
    </row>
    <row r="187">
      <c r="R187" s="171"/>
      <c r="S187" s="155"/>
      <c r="T187" s="155"/>
      <c r="U187" s="121" t="s">
        <v>118</v>
      </c>
    </row>
    <row r="188">
      <c r="R188" s="145" t="s">
        <v>119</v>
      </c>
      <c r="S188" s="147">
        <v>0.0</v>
      </c>
      <c r="T188" s="147">
        <v>7.0</v>
      </c>
      <c r="U188" s="147">
        <f t="shared" ref="U188:U190" si="109">SUM(S188:T188)</f>
        <v>7</v>
      </c>
    </row>
    <row r="189">
      <c r="R189" s="156" t="s">
        <v>116</v>
      </c>
      <c r="S189" s="157">
        <f t="shared" ref="S189:T189" si="108">S188*4.7</f>
        <v>0</v>
      </c>
      <c r="T189" s="157">
        <f t="shared" si="108"/>
        <v>32.9</v>
      </c>
      <c r="U189" s="158">
        <f t="shared" si="109"/>
        <v>32.9</v>
      </c>
    </row>
    <row r="190">
      <c r="R190" s="164" t="s">
        <v>120</v>
      </c>
      <c r="S190" s="165">
        <f t="shared" ref="S190:T190" si="110">S189*S185</f>
        <v>0</v>
      </c>
      <c r="T190" s="165">
        <f t="shared" si="110"/>
        <v>690.9</v>
      </c>
      <c r="U190" s="167">
        <f t="shared" si="109"/>
        <v>690.9</v>
      </c>
    </row>
    <row r="191">
      <c r="R191" s="171"/>
      <c r="S191" s="155"/>
      <c r="T191" s="155"/>
      <c r="U191" s="121" t="s">
        <v>118</v>
      </c>
    </row>
    <row r="192">
      <c r="R192" s="164" t="s">
        <v>121</v>
      </c>
      <c r="S192" s="180"/>
      <c r="T192" s="241">
        <v>1700.0</v>
      </c>
      <c r="U192" s="167">
        <f>SUM(S192:T192)</f>
        <v>1700</v>
      </c>
    </row>
    <row r="193">
      <c r="R193" s="171"/>
      <c r="S193" s="155"/>
      <c r="T193" s="155"/>
      <c r="U193" s="121" t="s">
        <v>118</v>
      </c>
    </row>
    <row r="194">
      <c r="R194" s="182" t="s">
        <v>122</v>
      </c>
      <c r="S194" s="183">
        <f t="shared" ref="S194:T194" si="111">S182*5</f>
        <v>938.4</v>
      </c>
      <c r="T194" s="183">
        <f t="shared" si="111"/>
        <v>938.4</v>
      </c>
      <c r="U194" s="184">
        <f>SUM(S194:T194)</f>
        <v>1876.8</v>
      </c>
    </row>
    <row r="195">
      <c r="R195" s="186"/>
      <c r="S195" s="187"/>
      <c r="T195" s="187"/>
      <c r="U195" s="136"/>
    </row>
    <row r="196">
      <c r="R196" s="192" t="s">
        <v>123</v>
      </c>
      <c r="S196" s="193">
        <f t="shared" ref="S196:T196" si="112">S186+S190+S192+S194</f>
        <v>2097.6</v>
      </c>
      <c r="T196" s="193">
        <f t="shared" si="112"/>
        <v>5265.176923</v>
      </c>
      <c r="U196" s="196">
        <f>SUM(S196:T196)</f>
        <v>7362.776923</v>
      </c>
    </row>
    <row r="197">
      <c r="T197" s="1" t="s">
        <v>138</v>
      </c>
      <c r="U197" s="1">
        <v>13500.0</v>
      </c>
    </row>
    <row r="198">
      <c r="T198" s="1" t="s">
        <v>139</v>
      </c>
      <c r="U198" s="32">
        <f>U197-U196</f>
        <v>6137.223077</v>
      </c>
    </row>
  </sheetData>
  <mergeCells count="25">
    <mergeCell ref="O10:O11"/>
    <mergeCell ref="R10:R11"/>
    <mergeCell ref="B27:E27"/>
    <mergeCell ref="K27:P27"/>
    <mergeCell ref="T27:Z27"/>
    <mergeCell ref="AC27:AH27"/>
    <mergeCell ref="E2:R2"/>
    <mergeCell ref="E4:H4"/>
    <mergeCell ref="I4:L4"/>
    <mergeCell ref="M4:O4"/>
    <mergeCell ref="P4:R4"/>
    <mergeCell ref="H10:H11"/>
    <mergeCell ref="L10:L11"/>
    <mergeCell ref="C129:H129"/>
    <mergeCell ref="C152:G152"/>
    <mergeCell ref="J152:P152"/>
    <mergeCell ref="R152:U152"/>
    <mergeCell ref="R177:U177"/>
    <mergeCell ref="J73:P73"/>
    <mergeCell ref="L75:P75"/>
    <mergeCell ref="S75:W75"/>
    <mergeCell ref="Z75:AE75"/>
    <mergeCell ref="C98:H98"/>
    <mergeCell ref="L98:P98"/>
    <mergeCell ref="L129:P1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75" outlineLevelRow="2"/>
  <cols>
    <col customWidth="1" min="1" max="1" width="3.86"/>
    <col customWidth="1" min="2" max="2" width="4.86"/>
    <col customWidth="1" min="3" max="3" width="53.86"/>
    <col customWidth="1" min="19" max="22" width="14.86"/>
    <col customWidth="1" min="23" max="23" width="3.57"/>
  </cols>
  <sheetData>
    <row r="1" ht="9.75" customHeight="1"/>
    <row r="2">
      <c r="B2" s="54" t="s">
        <v>152</v>
      </c>
    </row>
    <row r="3">
      <c r="B3" s="242" t="s">
        <v>153</v>
      </c>
    </row>
    <row r="4">
      <c r="B4" s="242" t="s">
        <v>154</v>
      </c>
    </row>
    <row r="6">
      <c r="D6" s="243" t="s">
        <v>155</v>
      </c>
      <c r="E6" s="244"/>
      <c r="F6" s="244"/>
      <c r="G6" s="244"/>
      <c r="H6" s="244"/>
      <c r="I6" s="245"/>
      <c r="J6" s="246" t="s">
        <v>156</v>
      </c>
      <c r="K6" s="245"/>
      <c r="L6" s="246" t="s">
        <v>157</v>
      </c>
      <c r="M6" s="245"/>
      <c r="N6" s="247" t="s">
        <v>158</v>
      </c>
      <c r="O6" s="245"/>
      <c r="P6" s="246" t="s">
        <v>159</v>
      </c>
      <c r="Q6" s="245"/>
      <c r="R6" s="246" t="s">
        <v>160</v>
      </c>
      <c r="S6" s="245"/>
      <c r="T6" s="246" t="s">
        <v>161</v>
      </c>
      <c r="U6" s="245"/>
    </row>
    <row r="7">
      <c r="D7" s="248" t="s">
        <v>162</v>
      </c>
      <c r="E7" s="249"/>
      <c r="F7" s="250" t="s">
        <v>163</v>
      </c>
      <c r="G7" s="249"/>
      <c r="H7" s="251" t="s">
        <v>164</v>
      </c>
      <c r="I7" s="249"/>
      <c r="J7" s="252" t="s">
        <v>165</v>
      </c>
      <c r="K7" s="249"/>
      <c r="L7" s="252" t="s">
        <v>165</v>
      </c>
      <c r="M7" s="249"/>
      <c r="N7" s="252" t="s">
        <v>165</v>
      </c>
      <c r="O7" s="249"/>
      <c r="P7" s="252" t="s">
        <v>165</v>
      </c>
      <c r="Q7" s="249"/>
      <c r="R7" s="252" t="s">
        <v>165</v>
      </c>
      <c r="S7" s="249"/>
      <c r="T7" s="252" t="s">
        <v>165</v>
      </c>
      <c r="U7" s="249"/>
    </row>
    <row r="8">
      <c r="B8" s="253"/>
      <c r="C8" s="254" t="s">
        <v>166</v>
      </c>
      <c r="D8" s="255" t="s">
        <v>167</v>
      </c>
      <c r="E8" s="57"/>
      <c r="F8" s="255" t="s">
        <v>167</v>
      </c>
      <c r="G8" s="57"/>
      <c r="H8" s="255" t="s">
        <v>167</v>
      </c>
      <c r="I8" s="57"/>
      <c r="J8" s="255" t="s">
        <v>167</v>
      </c>
      <c r="K8" s="57"/>
      <c r="L8" s="255" t="s">
        <v>167</v>
      </c>
      <c r="M8" s="57"/>
      <c r="N8" s="255" t="s">
        <v>167</v>
      </c>
      <c r="O8" s="57"/>
      <c r="P8" s="255" t="s">
        <v>167</v>
      </c>
      <c r="Q8" s="57"/>
      <c r="R8" s="255" t="s">
        <v>167</v>
      </c>
      <c r="S8" s="57"/>
      <c r="T8" s="255" t="s">
        <v>167</v>
      </c>
      <c r="U8" s="57"/>
    </row>
    <row r="9">
      <c r="B9" s="256"/>
      <c r="C9" s="257"/>
      <c r="D9" s="258" t="s">
        <v>168</v>
      </c>
      <c r="E9" s="259">
        <v>32.0</v>
      </c>
      <c r="F9" s="260" t="s">
        <v>168</v>
      </c>
      <c r="G9" s="259">
        <f>E9</f>
        <v>32</v>
      </c>
      <c r="H9" s="260" t="s">
        <v>168</v>
      </c>
      <c r="I9" s="259">
        <f>G9</f>
        <v>32</v>
      </c>
      <c r="J9" s="258" t="s">
        <v>168</v>
      </c>
      <c r="K9" s="259">
        <v>32.0</v>
      </c>
      <c r="L9" s="258" t="s">
        <v>168</v>
      </c>
      <c r="M9" s="259">
        <v>32.0</v>
      </c>
      <c r="N9" s="258" t="s">
        <v>168</v>
      </c>
      <c r="O9" s="259">
        <v>32.0</v>
      </c>
      <c r="P9" s="258" t="s">
        <v>168</v>
      </c>
      <c r="Q9" s="259">
        <v>32.0</v>
      </c>
      <c r="R9" s="258" t="s">
        <v>168</v>
      </c>
      <c r="S9" s="259">
        <v>32.0</v>
      </c>
      <c r="T9" s="258" t="s">
        <v>168</v>
      </c>
      <c r="U9" s="259">
        <v>32.0</v>
      </c>
    </row>
    <row r="10">
      <c r="B10" s="261"/>
      <c r="C10" s="88"/>
      <c r="D10" s="262" t="s">
        <v>169</v>
      </c>
      <c r="E10" s="263" t="s">
        <v>170</v>
      </c>
      <c r="F10" s="262" t="s">
        <v>169</v>
      </c>
      <c r="G10" s="263" t="s">
        <v>170</v>
      </c>
      <c r="H10" s="262" t="s">
        <v>169</v>
      </c>
      <c r="I10" s="263" t="s">
        <v>170</v>
      </c>
      <c r="J10" s="262" t="s">
        <v>169</v>
      </c>
      <c r="K10" s="263" t="s">
        <v>170</v>
      </c>
      <c r="L10" s="262" t="s">
        <v>169</v>
      </c>
      <c r="M10" s="263" t="s">
        <v>170</v>
      </c>
      <c r="N10" s="262" t="s">
        <v>169</v>
      </c>
      <c r="O10" s="263" t="s">
        <v>170</v>
      </c>
      <c r="P10" s="262" t="s">
        <v>169</v>
      </c>
      <c r="Q10" s="263" t="s">
        <v>170</v>
      </c>
      <c r="R10" s="262" t="s">
        <v>169</v>
      </c>
      <c r="S10" s="263" t="s">
        <v>170</v>
      </c>
      <c r="T10" s="262" t="s">
        <v>169</v>
      </c>
      <c r="U10" s="263" t="s">
        <v>170</v>
      </c>
    </row>
    <row r="11">
      <c r="B11" s="264"/>
      <c r="C11" s="265" t="s">
        <v>171</v>
      </c>
      <c r="D11" s="266"/>
      <c r="E11" s="267">
        <f>SUM(E12:E14)</f>
        <v>45150</v>
      </c>
      <c r="F11" s="266"/>
      <c r="G11" s="267">
        <f>SUM(G12:G14)</f>
        <v>56300</v>
      </c>
      <c r="H11" s="266"/>
      <c r="I11" s="267">
        <f>SUM(I12:I14)</f>
        <v>46010</v>
      </c>
      <c r="J11" s="266"/>
      <c r="K11" s="267">
        <f>SUM(K12:K14)</f>
        <v>36140</v>
      </c>
      <c r="L11" s="266"/>
      <c r="M11" s="267">
        <f>SUM(M12:M14)</f>
        <v>34540</v>
      </c>
      <c r="N11" s="266"/>
      <c r="O11" s="267">
        <f>SUM(O12:O14)</f>
        <v>30570</v>
      </c>
      <c r="P11" s="266"/>
      <c r="Q11" s="267">
        <f>SUM(Q12:Q14)</f>
        <v>38700</v>
      </c>
      <c r="R11" s="266"/>
      <c r="S11" s="267">
        <f>SUM(S12:S14)</f>
        <v>53740</v>
      </c>
      <c r="T11" s="266"/>
      <c r="U11" s="267">
        <f>SUM(U12:U14)</f>
        <v>37050</v>
      </c>
    </row>
    <row r="12">
      <c r="B12" s="268">
        <v>1.0</v>
      </c>
      <c r="C12" s="269" t="s">
        <v>172</v>
      </c>
      <c r="D12" s="266">
        <v>1100.0</v>
      </c>
      <c r="E12" s="73">
        <f>D12*E9</f>
        <v>35200</v>
      </c>
      <c r="F12" s="266">
        <v>1430.0</v>
      </c>
      <c r="G12" s="73">
        <f>F12*G9</f>
        <v>45760</v>
      </c>
      <c r="H12" s="266">
        <v>1130.0</v>
      </c>
      <c r="I12" s="73">
        <f>H12*I9</f>
        <v>36160</v>
      </c>
      <c r="J12" s="266">
        <f>25600/K9</f>
        <v>800</v>
      </c>
      <c r="K12" s="73">
        <f>J12*K9</f>
        <v>25600</v>
      </c>
      <c r="L12" s="266">
        <v>750.0</v>
      </c>
      <c r="M12" s="73">
        <f>L12*M9</f>
        <v>24000</v>
      </c>
      <c r="N12" s="266">
        <v>750.0</v>
      </c>
      <c r="O12" s="73">
        <f>N12*O9</f>
        <v>24000</v>
      </c>
      <c r="P12" s="266">
        <f>28160/Q9</f>
        <v>880</v>
      </c>
      <c r="Q12" s="73">
        <f>P12*Q9</f>
        <v>28160</v>
      </c>
      <c r="R12" s="266">
        <v>1350.0</v>
      </c>
      <c r="S12" s="73">
        <f>R12*S9</f>
        <v>43200</v>
      </c>
      <c r="T12" s="266">
        <v>850.0</v>
      </c>
      <c r="U12" s="73">
        <f>T12*U9</f>
        <v>27200</v>
      </c>
    </row>
    <row r="13">
      <c r="B13" s="268">
        <v>2.0</v>
      </c>
      <c r="C13" s="269" t="s">
        <v>173</v>
      </c>
      <c r="D13" s="270"/>
      <c r="E13" s="271">
        <v>5150.0</v>
      </c>
      <c r="F13" s="270"/>
      <c r="G13" s="271">
        <v>5740.0</v>
      </c>
      <c r="H13" s="270"/>
      <c r="I13" s="271">
        <v>5050.0</v>
      </c>
      <c r="J13" s="270"/>
      <c r="K13" s="271">
        <v>5740.0</v>
      </c>
      <c r="L13" s="270"/>
      <c r="M13" s="271">
        <v>5740.0</v>
      </c>
      <c r="N13" s="270"/>
      <c r="O13" s="271">
        <v>4650.0</v>
      </c>
      <c r="P13" s="270"/>
      <c r="Q13" s="271">
        <v>5740.0</v>
      </c>
      <c r="R13" s="270"/>
      <c r="S13" s="271">
        <v>5740.0</v>
      </c>
      <c r="T13" s="270"/>
      <c r="U13" s="272">
        <v>5050.0</v>
      </c>
    </row>
    <row r="14">
      <c r="B14" s="268">
        <v>3.0</v>
      </c>
      <c r="C14" s="269" t="s">
        <v>174</v>
      </c>
      <c r="D14" s="266">
        <v>150.0</v>
      </c>
      <c r="E14" s="73">
        <f>D14*E9</f>
        <v>4800</v>
      </c>
      <c r="F14" s="266">
        <v>150.0</v>
      </c>
      <c r="G14" s="73">
        <f>F14*G9</f>
        <v>4800</v>
      </c>
      <c r="H14" s="266">
        <v>150.0</v>
      </c>
      <c r="I14" s="73">
        <f>H14*I9</f>
        <v>4800</v>
      </c>
      <c r="J14" s="266">
        <v>150.0</v>
      </c>
      <c r="K14" s="73">
        <f>J14*K9</f>
        <v>4800</v>
      </c>
      <c r="L14" s="266">
        <v>150.0</v>
      </c>
      <c r="M14" s="73">
        <f>L14*M9</f>
        <v>4800</v>
      </c>
      <c r="N14" s="266">
        <v>60.0</v>
      </c>
      <c r="O14" s="73">
        <f>N14*O9</f>
        <v>1920</v>
      </c>
      <c r="P14" s="266">
        <v>150.0</v>
      </c>
      <c r="Q14" s="73">
        <f>P14*Q9</f>
        <v>4800</v>
      </c>
      <c r="R14" s="266">
        <v>150.0</v>
      </c>
      <c r="S14" s="73">
        <f>R14*S9</f>
        <v>4800</v>
      </c>
      <c r="T14" s="266">
        <v>150.0</v>
      </c>
      <c r="U14" s="273">
        <f>T14*U9</f>
        <v>4800</v>
      </c>
    </row>
    <row r="15">
      <c r="B15" s="268">
        <v>4.0</v>
      </c>
      <c r="C15" s="274" t="s">
        <v>175</v>
      </c>
      <c r="D15" s="270"/>
      <c r="E15" s="275"/>
      <c r="F15" s="270"/>
      <c r="G15" s="275"/>
      <c r="H15" s="270"/>
      <c r="I15" s="275"/>
      <c r="J15" s="270"/>
      <c r="K15" s="275"/>
      <c r="L15" s="270"/>
      <c r="M15" s="275"/>
      <c r="N15" s="266">
        <v>35.0</v>
      </c>
      <c r="O15" s="276">
        <f>N15*O9</f>
        <v>1120</v>
      </c>
      <c r="P15" s="270"/>
      <c r="Q15" s="275"/>
      <c r="R15" s="270"/>
      <c r="S15" s="275"/>
      <c r="T15" s="270"/>
      <c r="U15" s="275"/>
    </row>
    <row r="16">
      <c r="B16" s="268"/>
      <c r="C16" s="274"/>
      <c r="D16" s="270"/>
      <c r="E16" s="275"/>
      <c r="F16" s="270"/>
      <c r="G16" s="275"/>
      <c r="H16" s="270"/>
      <c r="I16" s="275"/>
      <c r="J16" s="270"/>
      <c r="K16" s="275"/>
      <c r="L16" s="270"/>
      <c r="M16" s="275"/>
      <c r="N16" s="270"/>
      <c r="O16" s="275"/>
      <c r="P16" s="270"/>
      <c r="Q16" s="275"/>
      <c r="R16" s="270"/>
      <c r="S16" s="275"/>
      <c r="T16" s="270"/>
      <c r="U16" s="275"/>
    </row>
    <row r="17">
      <c r="B17" s="268"/>
      <c r="C17" s="265" t="s">
        <v>176</v>
      </c>
      <c r="D17" s="270"/>
      <c r="E17" s="267">
        <f>SUM(E18:E31)</f>
        <v>13063</v>
      </c>
      <c r="F17" s="270"/>
      <c r="G17" s="267">
        <f>SUM(G18:G31)</f>
        <v>13123</v>
      </c>
      <c r="H17" s="270"/>
      <c r="I17" s="267">
        <f>SUM(I18:I31)</f>
        <v>13063</v>
      </c>
      <c r="J17" s="270"/>
      <c r="K17" s="267">
        <f>SUM(K18:K31)</f>
        <v>13123</v>
      </c>
      <c r="L17" s="270"/>
      <c r="M17" s="267">
        <f>SUM(M18:M31)</f>
        <v>13123</v>
      </c>
      <c r="N17" s="270"/>
      <c r="O17" s="267">
        <f>SUM(O18:O31)</f>
        <v>13113</v>
      </c>
      <c r="P17" s="270"/>
      <c r="Q17" s="267">
        <f>SUM(Q18:Q31)</f>
        <v>13123</v>
      </c>
      <c r="R17" s="270"/>
      <c r="S17" s="267">
        <f>SUM(S18:S31)</f>
        <v>13123</v>
      </c>
      <c r="T17" s="270"/>
      <c r="U17" s="267">
        <f>SUM(U18:U31)</f>
        <v>13113</v>
      </c>
    </row>
    <row r="18">
      <c r="B18" s="268">
        <v>4.0</v>
      </c>
      <c r="C18" s="274" t="s">
        <v>177</v>
      </c>
      <c r="D18" s="270"/>
      <c r="E18" s="277">
        <v>3000.0</v>
      </c>
      <c r="F18" s="270"/>
      <c r="G18" s="277">
        <v>3000.0</v>
      </c>
      <c r="H18" s="270"/>
      <c r="I18" s="277">
        <v>3000.0</v>
      </c>
      <c r="J18" s="270"/>
      <c r="K18" s="277">
        <v>3000.0</v>
      </c>
      <c r="L18" s="270"/>
      <c r="M18" s="277">
        <v>3000.0</v>
      </c>
      <c r="N18" s="270"/>
      <c r="O18" s="277">
        <v>3000.0</v>
      </c>
      <c r="P18" s="270"/>
      <c r="Q18" s="277">
        <v>3000.0</v>
      </c>
      <c r="R18" s="270"/>
      <c r="S18" s="277">
        <v>3000.0</v>
      </c>
      <c r="T18" s="270"/>
      <c r="U18" s="277">
        <v>3000.0</v>
      </c>
    </row>
    <row r="19">
      <c r="B19" s="268">
        <v>5.0</v>
      </c>
      <c r="C19" s="274" t="s">
        <v>178</v>
      </c>
      <c r="D19" s="270"/>
      <c r="E19" s="277">
        <v>1600.0</v>
      </c>
      <c r="F19" s="270"/>
      <c r="G19" s="277">
        <f>E19</f>
        <v>1600</v>
      </c>
      <c r="H19" s="270"/>
      <c r="I19" s="277">
        <f>G19</f>
        <v>1600</v>
      </c>
      <c r="J19" s="270"/>
      <c r="K19" s="277">
        <f>I19</f>
        <v>1600</v>
      </c>
      <c r="L19" s="270"/>
      <c r="M19" s="277">
        <f>K19</f>
        <v>1600</v>
      </c>
      <c r="N19" s="270"/>
      <c r="O19" s="277">
        <f>M19</f>
        <v>1600</v>
      </c>
      <c r="P19" s="270"/>
      <c r="Q19" s="277">
        <f>O19</f>
        <v>1600</v>
      </c>
      <c r="R19" s="270"/>
      <c r="S19" s="277">
        <f>Q19</f>
        <v>1600</v>
      </c>
      <c r="T19" s="270"/>
      <c r="U19" s="277">
        <f>S19</f>
        <v>1600</v>
      </c>
    </row>
    <row r="20">
      <c r="B20" s="268">
        <v>6.0</v>
      </c>
      <c r="C20" s="274" t="s">
        <v>179</v>
      </c>
      <c r="D20" s="270"/>
      <c r="E20" s="277">
        <v>30.0</v>
      </c>
      <c r="F20" s="270"/>
      <c r="G20" s="277">
        <v>30.0</v>
      </c>
      <c r="H20" s="270"/>
      <c r="I20" s="277">
        <v>30.0</v>
      </c>
      <c r="J20" s="270"/>
      <c r="K20" s="277">
        <v>30.0</v>
      </c>
      <c r="L20" s="270"/>
      <c r="M20" s="277">
        <v>30.0</v>
      </c>
      <c r="N20" s="270"/>
      <c r="O20" s="277">
        <v>30.0</v>
      </c>
      <c r="P20" s="270"/>
      <c r="Q20" s="277">
        <v>30.0</v>
      </c>
      <c r="R20" s="270"/>
      <c r="S20" s="277">
        <v>30.0</v>
      </c>
      <c r="T20" s="270"/>
      <c r="U20" s="277">
        <v>30.0</v>
      </c>
    </row>
    <row r="21">
      <c r="B21" s="268">
        <v>7.0</v>
      </c>
      <c r="C21" s="274" t="s">
        <v>180</v>
      </c>
      <c r="D21" s="270"/>
      <c r="E21" s="277">
        <v>1000.0</v>
      </c>
      <c r="F21" s="270"/>
      <c r="G21" s="277">
        <v>1000.0</v>
      </c>
      <c r="H21" s="270"/>
      <c r="I21" s="277">
        <v>1000.0</v>
      </c>
      <c r="J21" s="270"/>
      <c r="K21" s="277">
        <v>1000.0</v>
      </c>
      <c r="L21" s="270"/>
      <c r="M21" s="277">
        <v>1000.0</v>
      </c>
      <c r="N21" s="270"/>
      <c r="O21" s="277">
        <v>1000.0</v>
      </c>
      <c r="P21" s="270"/>
      <c r="Q21" s="277">
        <v>1000.0</v>
      </c>
      <c r="R21" s="270"/>
      <c r="S21" s="277">
        <v>1000.0</v>
      </c>
      <c r="T21" s="270"/>
      <c r="U21" s="277">
        <v>1000.0</v>
      </c>
    </row>
    <row r="22">
      <c r="B22" s="268">
        <v>8.0</v>
      </c>
      <c r="C22" s="274" t="s">
        <v>181</v>
      </c>
      <c r="D22" s="270"/>
      <c r="E22" s="277">
        <v>200.0</v>
      </c>
      <c r="F22" s="270"/>
      <c r="G22" s="277">
        <v>260.0</v>
      </c>
      <c r="H22" s="270"/>
      <c r="I22" s="278">
        <v>200.0</v>
      </c>
      <c r="J22" s="270"/>
      <c r="K22" s="277">
        <v>260.0</v>
      </c>
      <c r="L22" s="270"/>
      <c r="M22" s="277">
        <v>260.0</v>
      </c>
      <c r="N22" s="270"/>
      <c r="O22" s="277">
        <v>250.0</v>
      </c>
      <c r="P22" s="270"/>
      <c r="Q22" s="277">
        <v>260.0</v>
      </c>
      <c r="R22" s="270"/>
      <c r="S22" s="277">
        <v>260.0</v>
      </c>
      <c r="T22" s="270"/>
      <c r="U22" s="277">
        <v>250.0</v>
      </c>
    </row>
    <row r="23">
      <c r="B23" s="268">
        <v>9.0</v>
      </c>
      <c r="C23" s="274" t="s">
        <v>182</v>
      </c>
      <c r="D23" s="270"/>
      <c r="E23" s="275"/>
      <c r="F23" s="270"/>
      <c r="G23" s="275"/>
      <c r="H23" s="270"/>
      <c r="I23" s="275"/>
      <c r="J23" s="270"/>
      <c r="K23" s="275"/>
      <c r="L23" s="270"/>
      <c r="M23" s="275"/>
      <c r="N23" s="270"/>
      <c r="O23" s="275"/>
      <c r="P23" s="270"/>
      <c r="Q23" s="275"/>
      <c r="R23" s="270"/>
      <c r="S23" s="275"/>
      <c r="T23" s="270"/>
      <c r="U23" s="275"/>
    </row>
    <row r="24">
      <c r="B24" s="268">
        <v>10.0</v>
      </c>
      <c r="C24" s="274" t="s">
        <v>183</v>
      </c>
      <c r="D24" s="270"/>
      <c r="E24" s="275"/>
      <c r="F24" s="270"/>
      <c r="G24" s="275"/>
      <c r="H24" s="270"/>
      <c r="I24" s="275"/>
      <c r="J24" s="270"/>
      <c r="K24" s="275"/>
      <c r="L24" s="270"/>
      <c r="M24" s="275"/>
      <c r="N24" s="270"/>
      <c r="O24" s="275"/>
      <c r="P24" s="270"/>
      <c r="Q24" s="275"/>
      <c r="R24" s="270"/>
      <c r="S24" s="275"/>
      <c r="T24" s="270"/>
      <c r="U24" s="275"/>
    </row>
    <row r="25">
      <c r="B25" s="268">
        <v>11.0</v>
      </c>
      <c r="C25" s="274" t="s">
        <v>184</v>
      </c>
      <c r="D25" s="270"/>
      <c r="E25" s="277">
        <v>900.0</v>
      </c>
      <c r="F25" s="270"/>
      <c r="G25" s="277">
        <f>E25</f>
        <v>900</v>
      </c>
      <c r="H25" s="270"/>
      <c r="I25" s="277">
        <f>G25</f>
        <v>900</v>
      </c>
      <c r="J25" s="270"/>
      <c r="K25" s="277">
        <f>I25</f>
        <v>900</v>
      </c>
      <c r="L25" s="270"/>
      <c r="M25" s="277">
        <f>K25</f>
        <v>900</v>
      </c>
      <c r="N25" s="270"/>
      <c r="O25" s="277">
        <f>M25</f>
        <v>900</v>
      </c>
      <c r="P25" s="270"/>
      <c r="Q25" s="277">
        <f>O25</f>
        <v>900</v>
      </c>
      <c r="R25" s="270"/>
      <c r="S25" s="277">
        <f>Q25</f>
        <v>900</v>
      </c>
      <c r="T25" s="270"/>
      <c r="U25" s="277">
        <f>S25</f>
        <v>900</v>
      </c>
    </row>
    <row r="26">
      <c r="B26" s="268">
        <v>12.0</v>
      </c>
      <c r="C26" s="274" t="s">
        <v>185</v>
      </c>
      <c r="D26" s="270"/>
      <c r="E26" s="277">
        <v>500.0</v>
      </c>
      <c r="F26" s="270"/>
      <c r="G26" s="277">
        <v>500.0</v>
      </c>
      <c r="H26" s="270"/>
      <c r="I26" s="277">
        <v>500.0</v>
      </c>
      <c r="J26" s="270"/>
      <c r="K26" s="277">
        <v>500.0</v>
      </c>
      <c r="L26" s="270"/>
      <c r="M26" s="277">
        <v>500.0</v>
      </c>
      <c r="N26" s="270"/>
      <c r="O26" s="277">
        <v>500.0</v>
      </c>
      <c r="P26" s="270"/>
      <c r="Q26" s="277">
        <v>500.0</v>
      </c>
      <c r="R26" s="270"/>
      <c r="S26" s="277">
        <v>500.0</v>
      </c>
      <c r="T26" s="270"/>
      <c r="U26" s="277">
        <v>500.0</v>
      </c>
    </row>
    <row r="27">
      <c r="B27" s="268">
        <v>12.0</v>
      </c>
      <c r="C27" s="274" t="s">
        <v>186</v>
      </c>
      <c r="D27" s="270"/>
      <c r="E27" s="277">
        <v>1500.0</v>
      </c>
      <c r="F27" s="270"/>
      <c r="G27" s="277">
        <v>1500.0</v>
      </c>
      <c r="H27" s="270"/>
      <c r="I27" s="277">
        <v>1500.0</v>
      </c>
      <c r="J27" s="270"/>
      <c r="K27" s="277">
        <v>1500.0</v>
      </c>
      <c r="L27" s="270"/>
      <c r="M27" s="277">
        <v>1500.0</v>
      </c>
      <c r="N27" s="270"/>
      <c r="O27" s="277">
        <v>1500.0</v>
      </c>
      <c r="P27" s="270"/>
      <c r="Q27" s="277">
        <v>1500.0</v>
      </c>
      <c r="R27" s="270"/>
      <c r="S27" s="277">
        <v>1500.0</v>
      </c>
      <c r="T27" s="270"/>
      <c r="U27" s="277">
        <v>1500.0</v>
      </c>
    </row>
    <row r="28">
      <c r="B28" s="268">
        <v>13.0</v>
      </c>
      <c r="C28" s="274" t="s">
        <v>187</v>
      </c>
      <c r="D28" s="270"/>
      <c r="E28" s="277">
        <v>2600.0</v>
      </c>
      <c r="F28" s="270"/>
      <c r="G28" s="277">
        <v>2600.0</v>
      </c>
      <c r="H28" s="270"/>
      <c r="I28" s="277">
        <v>2600.0</v>
      </c>
      <c r="J28" s="270"/>
      <c r="K28" s="277">
        <v>2600.0</v>
      </c>
      <c r="L28" s="270"/>
      <c r="M28" s="277">
        <v>2600.0</v>
      </c>
      <c r="N28" s="270">
        <f>1500+1500</f>
        <v>3000</v>
      </c>
      <c r="O28" s="277">
        <v>2600.0</v>
      </c>
      <c r="P28" s="270"/>
      <c r="Q28" s="277">
        <v>2600.0</v>
      </c>
      <c r="R28" s="270"/>
      <c r="S28" s="277">
        <v>2600.0</v>
      </c>
      <c r="T28" s="270"/>
      <c r="U28" s="277">
        <v>2600.0</v>
      </c>
    </row>
    <row r="29" outlineLevel="2">
      <c r="B29" s="268">
        <v>15.0</v>
      </c>
      <c r="C29" s="274" t="s">
        <v>188</v>
      </c>
      <c r="D29" s="270"/>
      <c r="E29" s="277">
        <v>130.0</v>
      </c>
      <c r="F29" s="270"/>
      <c r="G29" s="277">
        <v>130.0</v>
      </c>
      <c r="H29" s="270"/>
      <c r="I29" s="277">
        <v>130.0</v>
      </c>
      <c r="J29" s="270"/>
      <c r="K29" s="277">
        <v>130.0</v>
      </c>
      <c r="L29" s="270"/>
      <c r="M29" s="277">
        <v>130.0</v>
      </c>
      <c r="N29" s="270"/>
      <c r="O29" s="277">
        <v>130.0</v>
      </c>
      <c r="P29" s="270"/>
      <c r="Q29" s="277">
        <v>130.0</v>
      </c>
      <c r="R29" s="270"/>
      <c r="S29" s="277">
        <v>130.0</v>
      </c>
      <c r="T29" s="270"/>
      <c r="U29" s="277">
        <v>130.0</v>
      </c>
    </row>
    <row r="30" outlineLevel="2">
      <c r="B30" s="268">
        <v>16.0</v>
      </c>
      <c r="C30" s="274" t="s">
        <v>189</v>
      </c>
      <c r="D30" s="270"/>
      <c r="E30" s="277">
        <v>800.0</v>
      </c>
      <c r="F30" s="270"/>
      <c r="G30" s="277">
        <v>800.0</v>
      </c>
      <c r="H30" s="270"/>
      <c r="I30" s="277">
        <v>800.0</v>
      </c>
      <c r="J30" s="270"/>
      <c r="K30" s="277">
        <v>800.0</v>
      </c>
      <c r="L30" s="270"/>
      <c r="M30" s="277">
        <v>800.0</v>
      </c>
      <c r="N30" s="270"/>
      <c r="O30" s="277">
        <v>800.0</v>
      </c>
      <c r="P30" s="270"/>
      <c r="Q30" s="277">
        <v>800.0</v>
      </c>
      <c r="R30" s="270"/>
      <c r="S30" s="277">
        <v>800.0</v>
      </c>
      <c r="T30" s="270"/>
      <c r="U30" s="277">
        <v>800.0</v>
      </c>
    </row>
    <row r="31" outlineLevel="2">
      <c r="B31" s="268">
        <v>17.0</v>
      </c>
      <c r="C31" s="274" t="s">
        <v>190</v>
      </c>
      <c r="D31" s="270"/>
      <c r="E31" s="277">
        <v>803.0</v>
      </c>
      <c r="F31" s="270"/>
      <c r="G31" s="277">
        <v>803.0</v>
      </c>
      <c r="H31" s="270"/>
      <c r="I31" s="277">
        <v>803.0</v>
      </c>
      <c r="J31" s="270"/>
      <c r="K31" s="277">
        <v>803.0</v>
      </c>
      <c r="L31" s="270"/>
      <c r="M31" s="277">
        <v>803.0</v>
      </c>
      <c r="N31" s="270"/>
      <c r="O31" s="277">
        <v>803.0</v>
      </c>
      <c r="P31" s="270"/>
      <c r="Q31" s="277">
        <v>803.0</v>
      </c>
      <c r="R31" s="270"/>
      <c r="S31" s="277">
        <v>803.0</v>
      </c>
      <c r="T31" s="270"/>
      <c r="U31" s="277">
        <v>803.0</v>
      </c>
    </row>
    <row r="32">
      <c r="B32" s="268"/>
      <c r="C32" s="274"/>
      <c r="D32" s="270"/>
      <c r="E32" s="275"/>
      <c r="F32" s="270"/>
      <c r="G32" s="275"/>
      <c r="H32" s="270"/>
      <c r="I32" s="275"/>
      <c r="J32" s="270"/>
      <c r="K32" s="275"/>
      <c r="L32" s="270"/>
      <c r="M32" s="275"/>
      <c r="N32" s="270"/>
      <c r="O32" s="275"/>
      <c r="P32" s="270"/>
      <c r="Q32" s="275"/>
      <c r="R32" s="270"/>
      <c r="S32" s="275"/>
      <c r="T32" s="270"/>
      <c r="U32" s="275"/>
    </row>
    <row r="33">
      <c r="B33" s="279"/>
      <c r="C33" s="280" t="s">
        <v>191</v>
      </c>
      <c r="D33" s="281"/>
      <c r="E33" s="282">
        <f>E11+E17</f>
        <v>58213</v>
      </c>
      <c r="F33" s="281"/>
      <c r="G33" s="282">
        <f>G11+G17</f>
        <v>69423</v>
      </c>
      <c r="H33" s="281"/>
      <c r="I33" s="282">
        <f>I11+I17</f>
        <v>59073</v>
      </c>
      <c r="J33" s="281"/>
      <c r="K33" s="282">
        <f>K11+K17</f>
        <v>49263</v>
      </c>
      <c r="L33" s="281"/>
      <c r="M33" s="282">
        <f>M11+M17</f>
        <v>47663</v>
      </c>
      <c r="N33" s="281"/>
      <c r="O33" s="282">
        <f>O11+O17</f>
        <v>43683</v>
      </c>
      <c r="P33" s="281"/>
      <c r="Q33" s="282">
        <f>Q11+Q17</f>
        <v>51823</v>
      </c>
      <c r="R33" s="281"/>
      <c r="S33" s="282">
        <f>S11+S17</f>
        <v>66863</v>
      </c>
      <c r="T33" s="281"/>
      <c r="U33" s="282">
        <f>U11+U17</f>
        <v>50163</v>
      </c>
    </row>
    <row r="34" ht="8.25" customHeight="1" outlineLevel="1">
      <c r="B34" s="283"/>
      <c r="C34" s="284"/>
      <c r="D34" s="285"/>
      <c r="E34" s="286"/>
      <c r="F34" s="285"/>
      <c r="G34" s="286"/>
      <c r="H34" s="285"/>
      <c r="I34" s="286"/>
      <c r="J34" s="285"/>
      <c r="K34" s="286"/>
      <c r="L34" s="285"/>
      <c r="M34" s="286"/>
      <c r="N34" s="285"/>
      <c r="O34" s="286"/>
      <c r="P34" s="285"/>
      <c r="Q34" s="286"/>
      <c r="R34" s="285"/>
      <c r="S34" s="286"/>
      <c r="T34" s="285"/>
      <c r="U34" s="286"/>
    </row>
    <row r="35" outlineLevel="2"/>
    <row r="36" outlineLevel="2">
      <c r="B36" s="287" t="s">
        <v>192</v>
      </c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5"/>
    </row>
    <row r="37" outlineLevel="2">
      <c r="B37" s="264"/>
      <c r="C37" s="288"/>
      <c r="D37" s="255" t="s">
        <v>167</v>
      </c>
      <c r="E37" s="57"/>
      <c r="F37" s="255" t="s">
        <v>167</v>
      </c>
      <c r="G37" s="57"/>
      <c r="H37" s="255" t="s">
        <v>167</v>
      </c>
      <c r="I37" s="57"/>
      <c r="J37" s="255" t="s">
        <v>167</v>
      </c>
      <c r="K37" s="57"/>
      <c r="L37" s="255" t="s">
        <v>167</v>
      </c>
      <c r="M37" s="57"/>
      <c r="N37" s="255" t="s">
        <v>167</v>
      </c>
      <c r="O37" s="57"/>
      <c r="P37" s="255" t="s">
        <v>167</v>
      </c>
      <c r="Q37" s="57"/>
      <c r="R37" s="255" t="s">
        <v>167</v>
      </c>
      <c r="S37" s="57"/>
      <c r="T37" s="255" t="s">
        <v>167</v>
      </c>
      <c r="U37" s="57"/>
    </row>
    <row r="38" outlineLevel="2">
      <c r="B38" s="268"/>
      <c r="C38" s="289" t="s">
        <v>193</v>
      </c>
      <c r="D38" s="290"/>
      <c r="E38" s="267">
        <f>SUM(E40)</f>
        <v>10500</v>
      </c>
      <c r="F38" s="290"/>
      <c r="G38" s="267">
        <f>SUM(G40)</f>
        <v>10500</v>
      </c>
      <c r="H38" s="290"/>
      <c r="I38" s="267">
        <f>SUM(I40)</f>
        <v>10500</v>
      </c>
      <c r="J38" s="290"/>
      <c r="K38" s="267">
        <f>SUM(K40)</f>
        <v>10500</v>
      </c>
      <c r="L38" s="290"/>
      <c r="M38" s="267">
        <f>SUM(M40)</f>
        <v>10500</v>
      </c>
      <c r="N38" s="290"/>
      <c r="O38" s="267">
        <f>SUM(O40)</f>
        <v>10500</v>
      </c>
      <c r="P38" s="290"/>
      <c r="Q38" s="267">
        <f>SUM(Q40)</f>
        <v>10500</v>
      </c>
      <c r="R38" s="290"/>
      <c r="S38" s="267">
        <f>SUM(S40)</f>
        <v>10500</v>
      </c>
      <c r="T38" s="290"/>
      <c r="U38" s="267">
        <f>SUM(U40)</f>
        <v>10500</v>
      </c>
    </row>
    <row r="39" outlineLevel="2">
      <c r="B39" s="268"/>
      <c r="C39" s="274" t="s">
        <v>194</v>
      </c>
      <c r="D39" s="290"/>
      <c r="E39" s="277"/>
      <c r="F39" s="290"/>
      <c r="G39" s="277"/>
      <c r="H39" s="290"/>
      <c r="I39" s="277"/>
      <c r="J39" s="290"/>
      <c r="K39" s="277"/>
      <c r="L39" s="290"/>
      <c r="M39" s="277"/>
      <c r="N39" s="290"/>
      <c r="O39" s="277"/>
      <c r="P39" s="290"/>
      <c r="Q39" s="277"/>
      <c r="R39" s="290"/>
      <c r="S39" s="277"/>
      <c r="T39" s="290"/>
      <c r="U39" s="277"/>
    </row>
    <row r="40" outlineLevel="2">
      <c r="B40" s="268">
        <v>1.0</v>
      </c>
      <c r="C40" s="274" t="s">
        <v>195</v>
      </c>
      <c r="D40" s="290"/>
      <c r="E40" s="277">
        <v>10500.0</v>
      </c>
      <c r="F40" s="290"/>
      <c r="G40" s="277">
        <f>E40</f>
        <v>10500</v>
      </c>
      <c r="H40" s="290"/>
      <c r="I40" s="277">
        <f>G40</f>
        <v>10500</v>
      </c>
      <c r="J40" s="290"/>
      <c r="K40" s="277">
        <f>I40</f>
        <v>10500</v>
      </c>
      <c r="L40" s="290"/>
      <c r="M40" s="277">
        <f>K40</f>
        <v>10500</v>
      </c>
      <c r="N40" s="290"/>
      <c r="O40" s="277">
        <f>M40</f>
        <v>10500</v>
      </c>
      <c r="P40" s="290"/>
      <c r="Q40" s="277">
        <f>O40</f>
        <v>10500</v>
      </c>
      <c r="R40" s="290"/>
      <c r="S40" s="277">
        <f>Q40</f>
        <v>10500</v>
      </c>
      <c r="T40" s="290"/>
      <c r="U40" s="277">
        <f>S40</f>
        <v>10500</v>
      </c>
    </row>
    <row r="41" outlineLevel="2">
      <c r="B41" s="268"/>
      <c r="C41" s="291"/>
      <c r="D41" s="292"/>
      <c r="E41" s="293"/>
      <c r="F41" s="292"/>
      <c r="G41" s="293"/>
      <c r="H41" s="292"/>
      <c r="I41" s="293"/>
      <c r="J41" s="294"/>
      <c r="K41" s="295"/>
      <c r="L41" s="294"/>
      <c r="M41" s="295"/>
      <c r="N41" s="294"/>
      <c r="O41" s="295"/>
      <c r="P41" s="294"/>
      <c r="Q41" s="295"/>
      <c r="R41" s="294"/>
      <c r="S41" s="295"/>
      <c r="T41" s="294"/>
      <c r="U41" s="295"/>
    </row>
    <row r="42" outlineLevel="2">
      <c r="B42" s="296"/>
      <c r="C42" s="297" t="s">
        <v>196</v>
      </c>
      <c r="D42" s="298"/>
      <c r="E42" s="299">
        <f>E33+E38</f>
        <v>68713</v>
      </c>
      <c r="F42" s="298"/>
      <c r="G42" s="299">
        <f>G33+G38</f>
        <v>79923</v>
      </c>
      <c r="H42" s="298"/>
      <c r="I42" s="299">
        <f>I33+I38</f>
        <v>69573</v>
      </c>
      <c r="J42" s="298"/>
      <c r="K42" s="299">
        <f>K33+K38</f>
        <v>59763</v>
      </c>
      <c r="L42" s="298"/>
      <c r="M42" s="299">
        <f>M33+M38</f>
        <v>58163</v>
      </c>
      <c r="N42" s="298"/>
      <c r="O42" s="299">
        <f>O33+O38</f>
        <v>54183</v>
      </c>
      <c r="P42" s="298"/>
      <c r="Q42" s="299">
        <f>Q33+Q38</f>
        <v>62323</v>
      </c>
      <c r="R42" s="298"/>
      <c r="S42" s="299">
        <f>S33+S38</f>
        <v>77363</v>
      </c>
      <c r="T42" s="298"/>
      <c r="U42" s="299">
        <f>U33+U38</f>
        <v>60663</v>
      </c>
    </row>
    <row r="43" outlineLevel="2"/>
    <row r="44" outlineLevel="2">
      <c r="C44" s="300" t="s">
        <v>197</v>
      </c>
      <c r="E44" s="301">
        <v>67000.0</v>
      </c>
      <c r="G44" s="301">
        <v>67000.0</v>
      </c>
      <c r="I44" s="301">
        <v>67000.0</v>
      </c>
      <c r="K44" s="301">
        <v>63000.0</v>
      </c>
      <c r="M44" s="301">
        <v>59000.0</v>
      </c>
      <c r="O44" s="301">
        <v>59000.0</v>
      </c>
      <c r="Q44" s="301">
        <v>66000.0</v>
      </c>
      <c r="S44" s="301">
        <v>81000.0</v>
      </c>
      <c r="U44" s="301">
        <v>62000.0</v>
      </c>
    </row>
    <row r="45" ht="5.25" customHeight="1" outlineLevel="2"/>
    <row r="46" outlineLevel="2">
      <c r="C46" s="1" t="s">
        <v>89</v>
      </c>
      <c r="E46" s="302">
        <f>E44-E42</f>
        <v>-1713</v>
      </c>
      <c r="G46" s="302">
        <f>G44-G42</f>
        <v>-12923</v>
      </c>
      <c r="I46" s="302">
        <f>I44-I42</f>
        <v>-2573</v>
      </c>
      <c r="K46" s="302">
        <f>K44-K42</f>
        <v>3237</v>
      </c>
      <c r="M46" s="302">
        <f>M44-M42</f>
        <v>837</v>
      </c>
      <c r="O46" s="302">
        <f>O44-O42</f>
        <v>4817</v>
      </c>
      <c r="Q46" s="302">
        <f>Q44-Q42</f>
        <v>3677</v>
      </c>
      <c r="S46" s="302">
        <f>S44-S42</f>
        <v>3637</v>
      </c>
      <c r="U46" s="302">
        <f>U44-U42</f>
        <v>1337</v>
      </c>
    </row>
    <row r="47" outlineLevel="2"/>
    <row r="48" outlineLevel="2">
      <c r="B48" s="303" t="s">
        <v>198</v>
      </c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245"/>
    </row>
    <row r="49" outlineLevel="2">
      <c r="D49" s="243" t="s">
        <v>155</v>
      </c>
      <c r="E49" s="244"/>
      <c r="F49" s="244"/>
      <c r="G49" s="244"/>
      <c r="H49" s="244"/>
      <c r="I49" s="245"/>
      <c r="J49" s="246" t="s">
        <v>156</v>
      </c>
      <c r="K49" s="245"/>
      <c r="L49" s="246" t="s">
        <v>157</v>
      </c>
      <c r="M49" s="245"/>
      <c r="N49" s="247" t="s">
        <v>158</v>
      </c>
      <c r="O49" s="245"/>
      <c r="P49" s="246" t="s">
        <v>159</v>
      </c>
      <c r="Q49" s="245"/>
      <c r="R49" s="246" t="s">
        <v>160</v>
      </c>
      <c r="S49" s="245"/>
      <c r="T49" s="246" t="s">
        <v>161</v>
      </c>
      <c r="U49" s="245"/>
    </row>
    <row r="50" outlineLevel="1">
      <c r="B50" s="1"/>
      <c r="C50" s="1"/>
      <c r="D50" s="255" t="s">
        <v>167</v>
      </c>
      <c r="E50" s="57"/>
      <c r="F50" s="255" t="s">
        <v>167</v>
      </c>
      <c r="G50" s="57"/>
      <c r="H50" s="255" t="s">
        <v>167</v>
      </c>
      <c r="I50" s="57"/>
      <c r="J50" s="255" t="s">
        <v>167</v>
      </c>
      <c r="K50" s="57"/>
      <c r="L50" s="255" t="s">
        <v>167</v>
      </c>
      <c r="M50" s="57"/>
      <c r="N50" s="255" t="s">
        <v>167</v>
      </c>
      <c r="O50" s="57"/>
      <c r="P50" s="255" t="s">
        <v>167</v>
      </c>
      <c r="Q50" s="57"/>
      <c r="R50" s="255" t="s">
        <v>167</v>
      </c>
      <c r="S50" s="57"/>
      <c r="T50" s="255" t="s">
        <v>167</v>
      </c>
      <c r="U50" s="57"/>
    </row>
    <row r="51" outlineLevel="1">
      <c r="B51" s="268"/>
      <c r="C51" s="289" t="s">
        <v>199</v>
      </c>
      <c r="D51" s="290"/>
      <c r="E51" s="267">
        <f>SUM(E53)</f>
        <v>29000</v>
      </c>
      <c r="F51" s="290"/>
      <c r="G51" s="267">
        <f>SUM(G53)</f>
        <v>29000</v>
      </c>
      <c r="H51" s="290"/>
      <c r="I51" s="267">
        <f>SUM(I53)</f>
        <v>29000</v>
      </c>
      <c r="J51" s="290"/>
      <c r="K51" s="267">
        <f>SUM(K53)</f>
        <v>29000</v>
      </c>
      <c r="L51" s="290"/>
      <c r="M51" s="267">
        <f>SUM(M53)</f>
        <v>29000</v>
      </c>
      <c r="N51" s="290"/>
      <c r="O51" s="267">
        <f>SUM(O53)</f>
        <v>29000</v>
      </c>
      <c r="P51" s="290"/>
      <c r="Q51" s="267">
        <f>SUM(Q53)</f>
        <v>29000</v>
      </c>
      <c r="R51" s="290"/>
      <c r="S51" s="267">
        <f>SUM(S53)</f>
        <v>29000</v>
      </c>
      <c r="T51" s="290"/>
      <c r="U51" s="267">
        <f>SUM(U53)</f>
        <v>29000</v>
      </c>
    </row>
    <row r="52" outlineLevel="1">
      <c r="B52" s="268"/>
      <c r="C52" s="274" t="s">
        <v>200</v>
      </c>
      <c r="D52" s="290"/>
      <c r="E52" s="277"/>
      <c r="F52" s="290"/>
      <c r="G52" s="277"/>
      <c r="H52" s="290"/>
      <c r="I52" s="277"/>
      <c r="J52" s="290"/>
      <c r="K52" s="277"/>
      <c r="L52" s="290"/>
      <c r="M52" s="277"/>
      <c r="N52" s="290"/>
      <c r="O52" s="277"/>
      <c r="P52" s="290"/>
      <c r="Q52" s="277"/>
      <c r="R52" s="290"/>
      <c r="S52" s="277"/>
      <c r="T52" s="290"/>
      <c r="U52" s="277"/>
    </row>
    <row r="53" outlineLevel="1">
      <c r="B53" s="268">
        <v>14.0</v>
      </c>
      <c r="C53" s="274" t="s">
        <v>195</v>
      </c>
      <c r="D53" s="290"/>
      <c r="E53" s="277">
        <v>29000.0</v>
      </c>
      <c r="F53" s="290"/>
      <c r="G53" s="277">
        <f>E53</f>
        <v>29000</v>
      </c>
      <c r="H53" s="290"/>
      <c r="I53" s="277">
        <f>G53</f>
        <v>29000</v>
      </c>
      <c r="J53" s="290"/>
      <c r="K53" s="277">
        <f>I53</f>
        <v>29000</v>
      </c>
      <c r="L53" s="290"/>
      <c r="M53" s="277">
        <f>K53</f>
        <v>29000</v>
      </c>
      <c r="N53" s="290"/>
      <c r="O53" s="277">
        <f>M53</f>
        <v>29000</v>
      </c>
      <c r="P53" s="290"/>
      <c r="Q53" s="277">
        <f>O53</f>
        <v>29000</v>
      </c>
      <c r="R53" s="290"/>
      <c r="S53" s="277">
        <f>Q53</f>
        <v>29000</v>
      </c>
      <c r="T53" s="290"/>
      <c r="U53" s="277">
        <f>S53</f>
        <v>29000</v>
      </c>
    </row>
    <row r="54" outlineLevel="1">
      <c r="B54" s="268"/>
      <c r="C54" s="291"/>
      <c r="D54" s="292"/>
      <c r="E54" s="293"/>
      <c r="F54" s="292"/>
      <c r="G54" s="293"/>
      <c r="H54" s="292"/>
      <c r="I54" s="293"/>
      <c r="J54" s="294"/>
      <c r="K54" s="295"/>
      <c r="L54" s="294"/>
      <c r="M54" s="295"/>
      <c r="N54" s="294"/>
      <c r="O54" s="295"/>
      <c r="P54" s="294"/>
      <c r="Q54" s="295"/>
      <c r="R54" s="294"/>
      <c r="S54" s="295"/>
      <c r="T54" s="294"/>
      <c r="U54" s="295"/>
    </row>
    <row r="55" outlineLevel="1">
      <c r="B55" s="296"/>
      <c r="C55" s="297" t="s">
        <v>196</v>
      </c>
      <c r="D55" s="298"/>
      <c r="E55" s="299">
        <f>E33+E51</f>
        <v>87213</v>
      </c>
      <c r="F55" s="298"/>
      <c r="G55" s="299">
        <f>G33+G51</f>
        <v>98423</v>
      </c>
      <c r="H55" s="298"/>
      <c r="I55" s="299">
        <f>I33+I51</f>
        <v>88073</v>
      </c>
      <c r="J55" s="298"/>
      <c r="K55" s="299">
        <f>K33+K51</f>
        <v>78263</v>
      </c>
      <c r="L55" s="298"/>
      <c r="M55" s="299">
        <f>M33+M51</f>
        <v>76663</v>
      </c>
      <c r="N55" s="298"/>
      <c r="O55" s="299">
        <f>O33+O51</f>
        <v>72683</v>
      </c>
      <c r="P55" s="298"/>
      <c r="Q55" s="299">
        <f>Q33+Q51</f>
        <v>80823</v>
      </c>
      <c r="R55" s="298"/>
      <c r="S55" s="299">
        <f>S33+S51</f>
        <v>95863</v>
      </c>
      <c r="T55" s="298"/>
      <c r="U55" s="299">
        <f>U33+U51</f>
        <v>79163</v>
      </c>
    </row>
    <row r="56" outlineLevel="1"/>
    <row r="57" outlineLevel="1">
      <c r="C57" s="300" t="s">
        <v>197</v>
      </c>
      <c r="E57" s="301">
        <v>85000.0</v>
      </c>
      <c r="G57" s="301">
        <v>85000.0</v>
      </c>
      <c r="I57" s="301">
        <v>85000.0</v>
      </c>
      <c r="K57" s="301">
        <v>82000.0</v>
      </c>
      <c r="M57" s="301">
        <v>78000.0</v>
      </c>
      <c r="O57" s="301">
        <v>78000.0</v>
      </c>
      <c r="Q57" s="301">
        <v>85000.0</v>
      </c>
      <c r="S57" s="301">
        <v>100000.0</v>
      </c>
      <c r="U57" s="301">
        <v>84000.0</v>
      </c>
    </row>
    <row r="58" ht="5.25" customHeight="1" outlineLevel="1"/>
    <row r="59" outlineLevel="1">
      <c r="C59" s="1" t="s">
        <v>89</v>
      </c>
      <c r="E59" s="302">
        <f>E57-E55</f>
        <v>-2213</v>
      </c>
      <c r="G59" s="302">
        <f>G57-G55</f>
        <v>-13423</v>
      </c>
      <c r="I59" s="302">
        <f>I57-I55</f>
        <v>-3073</v>
      </c>
      <c r="K59" s="302">
        <f>K57-K55</f>
        <v>3737</v>
      </c>
      <c r="M59" s="302">
        <f>M57-M55</f>
        <v>1337</v>
      </c>
      <c r="O59" s="302">
        <f>O57-O55</f>
        <v>5317</v>
      </c>
      <c r="Q59" s="302">
        <f>Q57-Q55</f>
        <v>4177</v>
      </c>
      <c r="S59" s="302">
        <f>S57-S55</f>
        <v>4137</v>
      </c>
      <c r="U59" s="302">
        <f>U57-U55</f>
        <v>4837</v>
      </c>
    </row>
    <row r="60" outlineLevel="1"/>
    <row r="61" outlineLevel="1"/>
    <row r="62">
      <c r="B62" s="303" t="s">
        <v>201</v>
      </c>
      <c r="C62" s="244"/>
      <c r="D62" s="244"/>
      <c r="E62" s="244"/>
      <c r="F62" s="244"/>
      <c r="G62" s="244"/>
      <c r="H62" s="244"/>
      <c r="I62" s="244"/>
      <c r="J62" s="304"/>
      <c r="K62" s="304"/>
      <c r="L62" s="304"/>
      <c r="M62" s="304"/>
      <c r="N62" s="304"/>
      <c r="O62" s="304"/>
      <c r="P62" s="304"/>
      <c r="Q62" s="304"/>
      <c r="R62" s="304"/>
      <c r="S62" s="304"/>
      <c r="T62" s="304"/>
      <c r="U62" s="305"/>
    </row>
    <row r="63">
      <c r="D63" s="243" t="s">
        <v>155</v>
      </c>
      <c r="E63" s="244"/>
      <c r="F63" s="244"/>
      <c r="G63" s="244"/>
      <c r="H63" s="244"/>
      <c r="I63" s="245"/>
      <c r="J63" s="246" t="s">
        <v>156</v>
      </c>
      <c r="K63" s="245"/>
      <c r="L63" s="246" t="s">
        <v>157</v>
      </c>
      <c r="M63" s="245"/>
      <c r="N63" s="247" t="s">
        <v>158</v>
      </c>
      <c r="O63" s="245"/>
      <c r="P63" s="246" t="s">
        <v>159</v>
      </c>
      <c r="Q63" s="245"/>
      <c r="R63" s="246" t="s">
        <v>160</v>
      </c>
      <c r="S63" s="245"/>
      <c r="T63" s="246" t="s">
        <v>161</v>
      </c>
      <c r="U63" s="245"/>
    </row>
    <row r="64">
      <c r="B64" s="1"/>
      <c r="C64" s="1"/>
      <c r="D64" s="255" t="s">
        <v>167</v>
      </c>
      <c r="E64" s="57"/>
      <c r="F64" s="255" t="s">
        <v>167</v>
      </c>
      <c r="G64" s="57"/>
      <c r="H64" s="255" t="s">
        <v>167</v>
      </c>
      <c r="I64" s="57"/>
      <c r="J64" s="255" t="s">
        <v>167</v>
      </c>
      <c r="K64" s="57"/>
      <c r="L64" s="255" t="s">
        <v>167</v>
      </c>
      <c r="M64" s="57"/>
      <c r="N64" s="255" t="s">
        <v>167</v>
      </c>
      <c r="O64" s="57"/>
      <c r="P64" s="255" t="s">
        <v>167</v>
      </c>
      <c r="Q64" s="57"/>
      <c r="R64" s="255" t="s">
        <v>167</v>
      </c>
      <c r="S64" s="57"/>
      <c r="T64" s="255" t="s">
        <v>167</v>
      </c>
      <c r="U64" s="57"/>
    </row>
    <row r="65">
      <c r="B65" s="268"/>
      <c r="C65" s="265" t="s">
        <v>202</v>
      </c>
      <c r="D65" s="290"/>
      <c r="E65" s="267">
        <f>SUM(E66:E68)</f>
        <v>23500</v>
      </c>
      <c r="F65" s="290"/>
      <c r="G65" s="267">
        <f>SUM(G66:G68)</f>
        <v>23500</v>
      </c>
      <c r="H65" s="290"/>
      <c r="I65" s="267">
        <f>SUM(I66:I68)</f>
        <v>23500</v>
      </c>
      <c r="J65" s="290"/>
      <c r="K65" s="267">
        <f>SUM(K66:K68)</f>
        <v>23500</v>
      </c>
      <c r="L65" s="290"/>
      <c r="M65" s="267">
        <f>SUM(M66:M68)</f>
        <v>23500</v>
      </c>
      <c r="N65" s="290"/>
      <c r="O65" s="267">
        <f>SUM(O66:O68)</f>
        <v>23500</v>
      </c>
      <c r="P65" s="290"/>
      <c r="Q65" s="267">
        <f>SUM(Q66:Q68)</f>
        <v>23500</v>
      </c>
      <c r="R65" s="290"/>
      <c r="S65" s="267">
        <f>SUM(S66:S68)</f>
        <v>23500</v>
      </c>
      <c r="T65" s="290"/>
      <c r="U65" s="267">
        <f>SUM(U66:U68)</f>
        <v>23500</v>
      </c>
    </row>
    <row r="66">
      <c r="B66" s="268"/>
      <c r="C66" s="274" t="s">
        <v>200</v>
      </c>
      <c r="D66" s="290"/>
      <c r="E66" s="277"/>
      <c r="F66" s="290"/>
      <c r="G66" s="277"/>
      <c r="H66" s="290"/>
      <c r="I66" s="277"/>
      <c r="J66" s="290"/>
      <c r="K66" s="277"/>
      <c r="L66" s="290"/>
      <c r="M66" s="277"/>
      <c r="N66" s="290"/>
      <c r="O66" s="277"/>
      <c r="P66" s="290"/>
      <c r="Q66" s="277"/>
      <c r="R66" s="290"/>
      <c r="S66" s="277"/>
      <c r="T66" s="290"/>
      <c r="U66" s="277"/>
    </row>
    <row r="67">
      <c r="B67" s="268">
        <v>14.0</v>
      </c>
      <c r="C67" s="274" t="s">
        <v>195</v>
      </c>
      <c r="D67" s="290"/>
      <c r="E67" s="277">
        <v>23500.0</v>
      </c>
      <c r="F67" s="290"/>
      <c r="G67" s="277">
        <f>E67</f>
        <v>23500</v>
      </c>
      <c r="H67" s="290"/>
      <c r="I67" s="277">
        <f>G67</f>
        <v>23500</v>
      </c>
      <c r="J67" s="290"/>
      <c r="K67" s="277">
        <f>I67</f>
        <v>23500</v>
      </c>
      <c r="L67" s="290"/>
      <c r="M67" s="277">
        <f>K67</f>
        <v>23500</v>
      </c>
      <c r="N67" s="290"/>
      <c r="O67" s="277">
        <f>M67</f>
        <v>23500</v>
      </c>
      <c r="P67" s="290"/>
      <c r="Q67" s="277">
        <f>O67</f>
        <v>23500</v>
      </c>
      <c r="R67" s="290"/>
      <c r="S67" s="277">
        <f>Q67</f>
        <v>23500</v>
      </c>
      <c r="T67" s="290"/>
      <c r="U67" s="277">
        <f>S67</f>
        <v>23500</v>
      </c>
    </row>
    <row r="68">
      <c r="B68" s="268"/>
      <c r="C68" s="291"/>
      <c r="D68" s="292"/>
      <c r="E68" s="293"/>
      <c r="F68" s="292"/>
      <c r="G68" s="293"/>
      <c r="H68" s="292"/>
      <c r="I68" s="293"/>
      <c r="J68" s="294"/>
      <c r="K68" s="295"/>
      <c r="L68" s="294"/>
      <c r="M68" s="295"/>
      <c r="N68" s="294"/>
      <c r="O68" s="295"/>
      <c r="P68" s="294"/>
      <c r="Q68" s="295"/>
      <c r="R68" s="294"/>
      <c r="S68" s="295"/>
      <c r="T68" s="294"/>
      <c r="U68" s="295"/>
    </row>
    <row r="69">
      <c r="B69" s="296"/>
      <c r="C69" s="306" t="s">
        <v>196</v>
      </c>
      <c r="D69" s="307"/>
      <c r="E69" s="308">
        <f>E65+E33</f>
        <v>81713</v>
      </c>
      <c r="F69" s="307"/>
      <c r="G69" s="308">
        <f>G65+G33</f>
        <v>92923</v>
      </c>
      <c r="H69" s="307"/>
      <c r="I69" s="308">
        <f>I65+I33</f>
        <v>82573</v>
      </c>
      <c r="J69" s="307"/>
      <c r="K69" s="308">
        <f>K65+K33</f>
        <v>72763</v>
      </c>
      <c r="L69" s="307"/>
      <c r="M69" s="308">
        <f>M65+M33</f>
        <v>71163</v>
      </c>
      <c r="N69" s="307"/>
      <c r="O69" s="308">
        <f>O65+O33</f>
        <v>67183</v>
      </c>
      <c r="P69" s="307"/>
      <c r="Q69" s="308">
        <f>Q65+Q33</f>
        <v>75323</v>
      </c>
      <c r="R69" s="307"/>
      <c r="S69" s="308">
        <f>S65+S33</f>
        <v>90363</v>
      </c>
      <c r="T69" s="307"/>
      <c r="U69" s="308">
        <f>U65+U33</f>
        <v>73663</v>
      </c>
    </row>
    <row r="71">
      <c r="C71" s="300" t="s">
        <v>197</v>
      </c>
      <c r="E71" s="301">
        <v>86000.0</v>
      </c>
      <c r="G71" s="301">
        <v>97000.0</v>
      </c>
      <c r="I71" s="301">
        <v>86000.0</v>
      </c>
      <c r="K71" s="301"/>
      <c r="M71" s="301"/>
      <c r="O71" s="301"/>
      <c r="Q71" s="301"/>
      <c r="S71" s="301"/>
      <c r="U71" s="301"/>
    </row>
    <row r="73">
      <c r="C73" s="1" t="s">
        <v>89</v>
      </c>
      <c r="E73" s="302">
        <f>E71-E69</f>
        <v>4287</v>
      </c>
      <c r="G73" s="302">
        <f>G71-G69</f>
        <v>4077</v>
      </c>
      <c r="I73" s="302">
        <f>I71-I69</f>
        <v>3427</v>
      </c>
      <c r="K73" s="302">
        <f>K71-K69</f>
        <v>-72763</v>
      </c>
      <c r="M73" s="302">
        <f>M71-M69</f>
        <v>-71163</v>
      </c>
      <c r="O73" s="302">
        <f>O71-O69</f>
        <v>-67183</v>
      </c>
      <c r="Q73" s="302">
        <f>Q71-Q69</f>
        <v>-75323</v>
      </c>
      <c r="S73" s="302">
        <f>S71-S69</f>
        <v>-90363</v>
      </c>
      <c r="U73" s="302">
        <f>U71-U69</f>
        <v>-73663</v>
      </c>
    </row>
  </sheetData>
  <mergeCells count="74">
    <mergeCell ref="B36:U36"/>
    <mergeCell ref="D37:E37"/>
    <mergeCell ref="F37:G37"/>
    <mergeCell ref="H37:I37"/>
    <mergeCell ref="J37:K37"/>
    <mergeCell ref="L37:M37"/>
    <mergeCell ref="N37:O37"/>
    <mergeCell ref="R49:S49"/>
    <mergeCell ref="T49:U49"/>
    <mergeCell ref="T37:U37"/>
    <mergeCell ref="B48:U48"/>
    <mergeCell ref="D49:I49"/>
    <mergeCell ref="J49:K49"/>
    <mergeCell ref="L49:M49"/>
    <mergeCell ref="N49:O49"/>
    <mergeCell ref="P49:Q49"/>
    <mergeCell ref="R50:S50"/>
    <mergeCell ref="T50:U50"/>
    <mergeCell ref="D50:E50"/>
    <mergeCell ref="F50:G50"/>
    <mergeCell ref="H50:I50"/>
    <mergeCell ref="J50:K50"/>
    <mergeCell ref="L50:M50"/>
    <mergeCell ref="N50:O50"/>
    <mergeCell ref="P50:Q50"/>
    <mergeCell ref="B62:I62"/>
    <mergeCell ref="J63:K63"/>
    <mergeCell ref="L63:M63"/>
    <mergeCell ref="N63:O63"/>
    <mergeCell ref="P63:Q63"/>
    <mergeCell ref="R63:S63"/>
    <mergeCell ref="T63:U63"/>
    <mergeCell ref="P64:Q64"/>
    <mergeCell ref="R64:S64"/>
    <mergeCell ref="T64:U64"/>
    <mergeCell ref="D63:I63"/>
    <mergeCell ref="D64:E64"/>
    <mergeCell ref="F64:G64"/>
    <mergeCell ref="H64:I64"/>
    <mergeCell ref="J64:K64"/>
    <mergeCell ref="L64:M64"/>
    <mergeCell ref="N64:O64"/>
    <mergeCell ref="P6:Q6"/>
    <mergeCell ref="R6:S6"/>
    <mergeCell ref="T6:U6"/>
    <mergeCell ref="B2:Q2"/>
    <mergeCell ref="B3:Q3"/>
    <mergeCell ref="B4:Q4"/>
    <mergeCell ref="D6:I6"/>
    <mergeCell ref="J6:K6"/>
    <mergeCell ref="L6:M6"/>
    <mergeCell ref="N6:O6"/>
    <mergeCell ref="R7:S7"/>
    <mergeCell ref="T7:U7"/>
    <mergeCell ref="D7:E7"/>
    <mergeCell ref="F7:G7"/>
    <mergeCell ref="H7:I7"/>
    <mergeCell ref="J7:K7"/>
    <mergeCell ref="L7:M7"/>
    <mergeCell ref="N7:O7"/>
    <mergeCell ref="P7:Q7"/>
    <mergeCell ref="N8:O8"/>
    <mergeCell ref="P8:Q8"/>
    <mergeCell ref="R8:S8"/>
    <mergeCell ref="T8:U8"/>
    <mergeCell ref="B8:B10"/>
    <mergeCell ref="C8:C10"/>
    <mergeCell ref="D8:E8"/>
    <mergeCell ref="F8:G8"/>
    <mergeCell ref="H8:I8"/>
    <mergeCell ref="J8:K8"/>
    <mergeCell ref="L8:M8"/>
    <mergeCell ref="P37:Q37"/>
    <mergeCell ref="R37:S3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75" outlineLevelRow="2"/>
  <cols>
    <col customWidth="1" min="1" max="1" width="3.86"/>
    <col customWidth="1" min="2" max="2" width="4.86"/>
    <col customWidth="1" min="3" max="3" width="53.86"/>
    <col customWidth="1" min="19" max="22" width="14.86"/>
    <col customWidth="1" min="23" max="23" width="3.57"/>
  </cols>
  <sheetData>
    <row r="1" ht="9.75" customHeight="1"/>
    <row r="2">
      <c r="B2" s="54" t="s">
        <v>152</v>
      </c>
    </row>
    <row r="3">
      <c r="B3" s="242" t="s">
        <v>153</v>
      </c>
    </row>
    <row r="4">
      <c r="B4" s="242" t="s">
        <v>154</v>
      </c>
    </row>
    <row r="6">
      <c r="D6" s="243" t="s">
        <v>155</v>
      </c>
      <c r="E6" s="244"/>
      <c r="F6" s="244"/>
      <c r="G6" s="244"/>
      <c r="H6" s="244"/>
      <c r="I6" s="245"/>
      <c r="J6" s="246" t="s">
        <v>156</v>
      </c>
      <c r="K6" s="245"/>
      <c r="L6" s="246" t="s">
        <v>157</v>
      </c>
      <c r="M6" s="245"/>
      <c r="N6" s="247" t="s">
        <v>158</v>
      </c>
      <c r="O6" s="245"/>
      <c r="P6" s="246" t="s">
        <v>159</v>
      </c>
      <c r="Q6" s="245"/>
      <c r="R6" s="246" t="s">
        <v>160</v>
      </c>
      <c r="S6" s="245"/>
      <c r="T6" s="246" t="s">
        <v>161</v>
      </c>
      <c r="U6" s="245"/>
    </row>
    <row r="7">
      <c r="D7" s="248" t="s">
        <v>162</v>
      </c>
      <c r="E7" s="249"/>
      <c r="F7" s="250" t="s">
        <v>163</v>
      </c>
      <c r="G7" s="249"/>
      <c r="H7" s="251" t="s">
        <v>164</v>
      </c>
      <c r="I7" s="249"/>
      <c r="J7" s="252" t="s">
        <v>165</v>
      </c>
      <c r="K7" s="249"/>
      <c r="L7" s="252" t="s">
        <v>165</v>
      </c>
      <c r="M7" s="249"/>
      <c r="N7" s="252" t="s">
        <v>165</v>
      </c>
      <c r="O7" s="249"/>
      <c r="P7" s="252" t="s">
        <v>165</v>
      </c>
      <c r="Q7" s="249"/>
      <c r="R7" s="252" t="s">
        <v>165</v>
      </c>
      <c r="S7" s="249"/>
      <c r="T7" s="252" t="s">
        <v>165</v>
      </c>
      <c r="U7" s="249"/>
    </row>
    <row r="8">
      <c r="B8" s="253"/>
      <c r="C8" s="254" t="s">
        <v>166</v>
      </c>
      <c r="D8" s="255" t="s">
        <v>167</v>
      </c>
      <c r="E8" s="57"/>
      <c r="F8" s="255" t="s">
        <v>167</v>
      </c>
      <c r="G8" s="57"/>
      <c r="H8" s="255" t="s">
        <v>167</v>
      </c>
      <c r="I8" s="57"/>
      <c r="J8" s="255" t="s">
        <v>167</v>
      </c>
      <c r="K8" s="57"/>
      <c r="L8" s="255" t="s">
        <v>167</v>
      </c>
      <c r="M8" s="57"/>
      <c r="N8" s="255" t="s">
        <v>167</v>
      </c>
      <c r="O8" s="57"/>
      <c r="P8" s="255" t="s">
        <v>167</v>
      </c>
      <c r="Q8" s="57"/>
      <c r="R8" s="255" t="s">
        <v>167</v>
      </c>
      <c r="S8" s="57"/>
      <c r="T8" s="255" t="s">
        <v>167</v>
      </c>
      <c r="U8" s="57"/>
    </row>
    <row r="9">
      <c r="B9" s="256"/>
      <c r="C9" s="257"/>
      <c r="D9" s="258" t="s">
        <v>168</v>
      </c>
      <c r="E9" s="259">
        <v>32.0</v>
      </c>
      <c r="F9" s="260" t="s">
        <v>168</v>
      </c>
      <c r="G9" s="259">
        <f>E9</f>
        <v>32</v>
      </c>
      <c r="H9" s="260" t="s">
        <v>168</v>
      </c>
      <c r="I9" s="259">
        <f>G9</f>
        <v>32</v>
      </c>
      <c r="J9" s="258" t="s">
        <v>168</v>
      </c>
      <c r="K9" s="259">
        <v>32.0</v>
      </c>
      <c r="L9" s="258" t="s">
        <v>168</v>
      </c>
      <c r="M9" s="259">
        <v>32.0</v>
      </c>
      <c r="N9" s="258" t="s">
        <v>168</v>
      </c>
      <c r="O9" s="259">
        <v>32.0</v>
      </c>
      <c r="P9" s="258" t="s">
        <v>168</v>
      </c>
      <c r="Q9" s="259">
        <v>32.0</v>
      </c>
      <c r="R9" s="258" t="s">
        <v>168</v>
      </c>
      <c r="S9" s="259">
        <v>32.0</v>
      </c>
      <c r="T9" s="258" t="s">
        <v>168</v>
      </c>
      <c r="U9" s="259">
        <v>31.0</v>
      </c>
    </row>
    <row r="10">
      <c r="B10" s="261"/>
      <c r="C10" s="88"/>
      <c r="D10" s="262" t="s">
        <v>169</v>
      </c>
      <c r="E10" s="263" t="s">
        <v>170</v>
      </c>
      <c r="F10" s="262" t="s">
        <v>169</v>
      </c>
      <c r="G10" s="263" t="s">
        <v>170</v>
      </c>
      <c r="H10" s="262" t="s">
        <v>169</v>
      </c>
      <c r="I10" s="263" t="s">
        <v>170</v>
      </c>
      <c r="J10" s="262" t="s">
        <v>169</v>
      </c>
      <c r="K10" s="263" t="s">
        <v>170</v>
      </c>
      <c r="L10" s="262" t="s">
        <v>169</v>
      </c>
      <c r="M10" s="263" t="s">
        <v>170</v>
      </c>
      <c r="N10" s="262" t="s">
        <v>169</v>
      </c>
      <c r="O10" s="263" t="s">
        <v>170</v>
      </c>
      <c r="P10" s="262" t="s">
        <v>169</v>
      </c>
      <c r="Q10" s="263" t="s">
        <v>170</v>
      </c>
      <c r="R10" s="262" t="s">
        <v>169</v>
      </c>
      <c r="S10" s="263" t="s">
        <v>170</v>
      </c>
      <c r="T10" s="262" t="s">
        <v>169</v>
      </c>
      <c r="U10" s="263" t="s">
        <v>170</v>
      </c>
    </row>
    <row r="11">
      <c r="B11" s="264"/>
      <c r="C11" s="289" t="s">
        <v>171</v>
      </c>
      <c r="D11" s="266"/>
      <c r="E11" s="267">
        <f>SUM(E12:E14)</f>
        <v>45150</v>
      </c>
      <c r="F11" s="266"/>
      <c r="G11" s="267">
        <f>SUM(G12:G14)</f>
        <v>56300</v>
      </c>
      <c r="H11" s="266"/>
      <c r="I11" s="267">
        <f>SUM(I12:I14)</f>
        <v>46010</v>
      </c>
      <c r="J11" s="266"/>
      <c r="K11" s="267">
        <f>SUM(K12:K14)</f>
        <v>36140</v>
      </c>
      <c r="L11" s="266"/>
      <c r="M11" s="267">
        <f>SUM(M12:M14)</f>
        <v>37100</v>
      </c>
      <c r="N11" s="266"/>
      <c r="O11" s="267">
        <f>SUM(O12:O14)</f>
        <v>30570</v>
      </c>
      <c r="P11" s="266"/>
      <c r="Q11" s="267">
        <f>SUM(Q12:Q14)</f>
        <v>38700</v>
      </c>
      <c r="R11" s="266"/>
      <c r="S11" s="267">
        <f>SUM(S12:S14)</f>
        <v>53740</v>
      </c>
      <c r="T11" s="266"/>
      <c r="U11" s="267">
        <f>SUM(U12:U14)</f>
        <v>45110</v>
      </c>
    </row>
    <row r="12">
      <c r="B12" s="268">
        <v>1.0</v>
      </c>
      <c r="C12" s="269" t="s">
        <v>172</v>
      </c>
      <c r="D12" s="266">
        <v>1100.0</v>
      </c>
      <c r="E12" s="73">
        <f>D12*E9</f>
        <v>35200</v>
      </c>
      <c r="F12" s="266">
        <v>1430.0</v>
      </c>
      <c r="G12" s="73">
        <f>F12*G9</f>
        <v>45760</v>
      </c>
      <c r="H12" s="266">
        <v>1130.0</v>
      </c>
      <c r="I12" s="73">
        <f>H12*I9</f>
        <v>36160</v>
      </c>
      <c r="J12" s="266">
        <f>25600/K9</f>
        <v>800</v>
      </c>
      <c r="K12" s="73">
        <f>J12*K9</f>
        <v>25600</v>
      </c>
      <c r="L12" s="266">
        <v>830.0</v>
      </c>
      <c r="M12" s="73">
        <f>L12*M9</f>
        <v>26560</v>
      </c>
      <c r="N12" s="266">
        <v>750.0</v>
      </c>
      <c r="O12" s="73">
        <f>N12*O9</f>
        <v>24000</v>
      </c>
      <c r="P12" s="266">
        <f>28160/Q9</f>
        <v>880</v>
      </c>
      <c r="Q12" s="73">
        <f>P12*Q9</f>
        <v>28160</v>
      </c>
      <c r="R12" s="266">
        <v>1350.0</v>
      </c>
      <c r="S12" s="73">
        <f>R12*S9</f>
        <v>43200</v>
      </c>
      <c r="T12" s="266">
        <v>1030.0</v>
      </c>
      <c r="U12" s="73">
        <f>T12*U9</f>
        <v>31930</v>
      </c>
    </row>
    <row r="13">
      <c r="B13" s="268">
        <v>2.0</v>
      </c>
      <c r="C13" s="269" t="s">
        <v>173</v>
      </c>
      <c r="D13" s="270"/>
      <c r="E13" s="271">
        <v>5150.0</v>
      </c>
      <c r="F13" s="270"/>
      <c r="G13" s="271">
        <v>5740.0</v>
      </c>
      <c r="H13" s="270"/>
      <c r="I13" s="271">
        <v>5050.0</v>
      </c>
      <c r="J13" s="270"/>
      <c r="K13" s="271">
        <v>5740.0</v>
      </c>
      <c r="L13" s="270"/>
      <c r="M13" s="271">
        <v>5740.0</v>
      </c>
      <c r="N13" s="270"/>
      <c r="O13" s="271">
        <v>4650.0</v>
      </c>
      <c r="P13" s="270"/>
      <c r="Q13" s="271">
        <v>5740.0</v>
      </c>
      <c r="R13" s="270"/>
      <c r="S13" s="271">
        <v>5740.0</v>
      </c>
      <c r="T13" s="270"/>
      <c r="U13" s="272">
        <v>5740.0</v>
      </c>
    </row>
    <row r="14">
      <c r="B14" s="268">
        <v>3.0</v>
      </c>
      <c r="C14" s="269" t="s">
        <v>174</v>
      </c>
      <c r="D14" s="266">
        <v>150.0</v>
      </c>
      <c r="E14" s="73">
        <f>D14*E9</f>
        <v>4800</v>
      </c>
      <c r="F14" s="266">
        <v>150.0</v>
      </c>
      <c r="G14" s="73">
        <f>F14*G9</f>
        <v>4800</v>
      </c>
      <c r="H14" s="266">
        <v>150.0</v>
      </c>
      <c r="I14" s="73">
        <f>H14*I9</f>
        <v>4800</v>
      </c>
      <c r="J14" s="266">
        <v>150.0</v>
      </c>
      <c r="K14" s="73">
        <f>J14*K9</f>
        <v>4800</v>
      </c>
      <c r="L14" s="266">
        <v>150.0</v>
      </c>
      <c r="M14" s="73">
        <f>L14*M9</f>
        <v>4800</v>
      </c>
      <c r="N14" s="266">
        <v>60.0</v>
      </c>
      <c r="O14" s="73">
        <f>N14*O9</f>
        <v>1920</v>
      </c>
      <c r="P14" s="266">
        <v>150.0</v>
      </c>
      <c r="Q14" s="73">
        <f>P14*Q9</f>
        <v>4800</v>
      </c>
      <c r="R14" s="266">
        <v>150.0</v>
      </c>
      <c r="S14" s="73">
        <f>R14*S9</f>
        <v>4800</v>
      </c>
      <c r="T14" s="266">
        <v>240.0</v>
      </c>
      <c r="U14" s="273">
        <f>T14*U9</f>
        <v>7440</v>
      </c>
    </row>
    <row r="15">
      <c r="B15" s="268">
        <v>4.0</v>
      </c>
      <c r="C15" s="274" t="s">
        <v>175</v>
      </c>
      <c r="D15" s="270"/>
      <c r="E15" s="275"/>
      <c r="F15" s="270"/>
      <c r="G15" s="275"/>
      <c r="H15" s="270"/>
      <c r="I15" s="275"/>
      <c r="J15" s="270"/>
      <c r="K15" s="275"/>
      <c r="L15" s="270"/>
      <c r="M15" s="275"/>
      <c r="N15" s="266">
        <v>35.0</v>
      </c>
      <c r="O15" s="276">
        <f>N15*O9</f>
        <v>1120</v>
      </c>
      <c r="P15" s="270"/>
      <c r="Q15" s="275"/>
      <c r="R15" s="270"/>
      <c r="S15" s="275"/>
      <c r="T15" s="270"/>
      <c r="U15" s="275"/>
    </row>
    <row r="16">
      <c r="B16" s="268"/>
      <c r="C16" s="274"/>
      <c r="D16" s="270"/>
      <c r="E16" s="275"/>
      <c r="F16" s="270"/>
      <c r="G16" s="275"/>
      <c r="H16" s="270"/>
      <c r="I16" s="275"/>
      <c r="J16" s="270"/>
      <c r="K16" s="275"/>
      <c r="L16" s="270"/>
      <c r="M16" s="275"/>
      <c r="N16" s="270"/>
      <c r="O16" s="275"/>
      <c r="P16" s="270"/>
      <c r="Q16" s="275"/>
      <c r="R16" s="270"/>
      <c r="S16" s="275"/>
      <c r="T16" s="270"/>
      <c r="U16" s="275"/>
    </row>
    <row r="17">
      <c r="B17" s="268"/>
      <c r="C17" s="289" t="s">
        <v>203</v>
      </c>
      <c r="D17" s="270"/>
      <c r="E17" s="267">
        <f>SUM(E18:E28)</f>
        <v>11030</v>
      </c>
      <c r="F17" s="270"/>
      <c r="G17" s="267">
        <f>SUM(G18:G28)</f>
        <v>11090</v>
      </c>
      <c r="H17" s="270"/>
      <c r="I17" s="267">
        <f>SUM(I18:I28)</f>
        <v>11030</v>
      </c>
      <c r="J17" s="270"/>
      <c r="K17" s="267">
        <f>SUM(K18:K28)</f>
        <v>11090</v>
      </c>
      <c r="L17" s="270"/>
      <c r="M17" s="267">
        <f>SUM(M18:M28)</f>
        <v>11090</v>
      </c>
      <c r="N17" s="270"/>
      <c r="O17" s="267">
        <f>SUM(O18:O28)</f>
        <v>11080</v>
      </c>
      <c r="P17" s="270"/>
      <c r="Q17" s="267">
        <f>SUM(Q18:Q28)</f>
        <v>11090</v>
      </c>
      <c r="R17" s="270"/>
      <c r="S17" s="267">
        <f>SUM(S18:S28)</f>
        <v>11090</v>
      </c>
      <c r="T17" s="270"/>
      <c r="U17" s="267">
        <f>SUM(U18:U28)</f>
        <v>11090</v>
      </c>
    </row>
    <row r="18">
      <c r="B18" s="268">
        <v>4.0</v>
      </c>
      <c r="C18" s="274" t="s">
        <v>177</v>
      </c>
      <c r="D18" s="270"/>
      <c r="E18" s="277">
        <v>3000.0</v>
      </c>
      <c r="F18" s="270"/>
      <c r="G18" s="277">
        <v>3000.0</v>
      </c>
      <c r="H18" s="270"/>
      <c r="I18" s="277">
        <v>3000.0</v>
      </c>
      <c r="J18" s="270"/>
      <c r="K18" s="277">
        <v>3000.0</v>
      </c>
      <c r="L18" s="270"/>
      <c r="M18" s="277">
        <v>3000.0</v>
      </c>
      <c r="N18" s="270"/>
      <c r="O18" s="277">
        <v>3000.0</v>
      </c>
      <c r="P18" s="270"/>
      <c r="Q18" s="277">
        <v>3000.0</v>
      </c>
      <c r="R18" s="270"/>
      <c r="S18" s="277">
        <v>3000.0</v>
      </c>
      <c r="T18" s="270"/>
      <c r="U18" s="277">
        <v>3000.0</v>
      </c>
    </row>
    <row r="19">
      <c r="B19" s="268">
        <v>5.0</v>
      </c>
      <c r="C19" s="274" t="s">
        <v>178</v>
      </c>
      <c r="D19" s="270"/>
      <c r="E19" s="277">
        <v>1500.0</v>
      </c>
      <c r="F19" s="270"/>
      <c r="G19" s="277">
        <v>1500.0</v>
      </c>
      <c r="H19" s="270"/>
      <c r="I19" s="277">
        <v>1500.0</v>
      </c>
      <c r="J19" s="270"/>
      <c r="K19" s="277">
        <v>1500.0</v>
      </c>
      <c r="L19" s="270"/>
      <c r="M19" s="277">
        <v>1500.0</v>
      </c>
      <c r="N19" s="270"/>
      <c r="O19" s="277">
        <v>1500.0</v>
      </c>
      <c r="P19" s="270"/>
      <c r="Q19" s="277">
        <v>1500.0</v>
      </c>
      <c r="R19" s="270"/>
      <c r="S19" s="277">
        <v>1500.0</v>
      </c>
      <c r="T19" s="270"/>
      <c r="U19" s="277">
        <v>1500.0</v>
      </c>
    </row>
    <row r="20">
      <c r="B20" s="268">
        <v>6.0</v>
      </c>
      <c r="C20" s="274" t="s">
        <v>179</v>
      </c>
      <c r="D20" s="270"/>
      <c r="E20" s="277">
        <v>30.0</v>
      </c>
      <c r="F20" s="270"/>
      <c r="G20" s="277">
        <v>30.0</v>
      </c>
      <c r="H20" s="270"/>
      <c r="I20" s="277">
        <v>30.0</v>
      </c>
      <c r="J20" s="270"/>
      <c r="K20" s="277">
        <v>30.0</v>
      </c>
      <c r="L20" s="270"/>
      <c r="M20" s="277">
        <v>30.0</v>
      </c>
      <c r="N20" s="270"/>
      <c r="O20" s="277">
        <v>30.0</v>
      </c>
      <c r="P20" s="270"/>
      <c r="Q20" s="277">
        <v>30.0</v>
      </c>
      <c r="R20" s="270"/>
      <c r="S20" s="277">
        <v>30.0</v>
      </c>
      <c r="T20" s="270"/>
      <c r="U20" s="277">
        <v>30.0</v>
      </c>
    </row>
    <row r="21">
      <c r="B21" s="268">
        <v>7.0</v>
      </c>
      <c r="C21" s="274" t="s">
        <v>180</v>
      </c>
      <c r="D21" s="270"/>
      <c r="E21" s="277">
        <v>1000.0</v>
      </c>
      <c r="F21" s="270"/>
      <c r="G21" s="277">
        <v>1000.0</v>
      </c>
      <c r="H21" s="270"/>
      <c r="I21" s="277">
        <v>1000.0</v>
      </c>
      <c r="J21" s="270"/>
      <c r="K21" s="277">
        <v>1000.0</v>
      </c>
      <c r="L21" s="270"/>
      <c r="M21" s="277">
        <v>1000.0</v>
      </c>
      <c r="N21" s="270"/>
      <c r="O21" s="277">
        <v>1000.0</v>
      </c>
      <c r="P21" s="270"/>
      <c r="Q21" s="277">
        <v>1000.0</v>
      </c>
      <c r="R21" s="270"/>
      <c r="S21" s="277">
        <v>1000.0</v>
      </c>
      <c r="T21" s="270"/>
      <c r="U21" s="277">
        <v>1000.0</v>
      </c>
    </row>
    <row r="22">
      <c r="B22" s="268">
        <v>8.0</v>
      </c>
      <c r="C22" s="274" t="s">
        <v>181</v>
      </c>
      <c r="D22" s="270"/>
      <c r="E22" s="277">
        <v>200.0</v>
      </c>
      <c r="F22" s="270"/>
      <c r="G22" s="277">
        <v>260.0</v>
      </c>
      <c r="H22" s="270"/>
      <c r="I22" s="278">
        <v>200.0</v>
      </c>
      <c r="J22" s="270"/>
      <c r="K22" s="277">
        <v>260.0</v>
      </c>
      <c r="L22" s="270"/>
      <c r="M22" s="277">
        <v>260.0</v>
      </c>
      <c r="N22" s="270"/>
      <c r="O22" s="277">
        <v>250.0</v>
      </c>
      <c r="P22" s="270"/>
      <c r="Q22" s="277">
        <v>260.0</v>
      </c>
      <c r="R22" s="270"/>
      <c r="S22" s="277">
        <v>260.0</v>
      </c>
      <c r="T22" s="270"/>
      <c r="U22" s="277">
        <v>260.0</v>
      </c>
    </row>
    <row r="23">
      <c r="B23" s="268">
        <v>9.0</v>
      </c>
      <c r="C23" s="274" t="s">
        <v>182</v>
      </c>
      <c r="D23" s="270"/>
      <c r="E23" s="275"/>
      <c r="F23" s="270"/>
      <c r="G23" s="275"/>
      <c r="H23" s="270"/>
      <c r="I23" s="275"/>
      <c r="J23" s="270"/>
      <c r="K23" s="275"/>
      <c r="L23" s="270"/>
      <c r="M23" s="275"/>
      <c r="N23" s="270"/>
      <c r="O23" s="275"/>
      <c r="P23" s="270"/>
      <c r="Q23" s="275"/>
      <c r="R23" s="270"/>
      <c r="S23" s="275"/>
      <c r="T23" s="270"/>
      <c r="U23" s="275"/>
    </row>
    <row r="24">
      <c r="B24" s="268">
        <v>10.0</v>
      </c>
      <c r="C24" s="274" t="s">
        <v>183</v>
      </c>
      <c r="D24" s="270"/>
      <c r="E24" s="275"/>
      <c r="F24" s="270"/>
      <c r="G24" s="275"/>
      <c r="H24" s="270"/>
      <c r="I24" s="275"/>
      <c r="J24" s="270"/>
      <c r="K24" s="275"/>
      <c r="L24" s="270"/>
      <c r="M24" s="275"/>
      <c r="N24" s="270"/>
      <c r="O24" s="275"/>
      <c r="P24" s="270"/>
      <c r="Q24" s="275"/>
      <c r="R24" s="270"/>
      <c r="S24" s="275"/>
      <c r="T24" s="270"/>
      <c r="U24" s="275"/>
    </row>
    <row r="25">
      <c r="B25" s="268">
        <v>11.0</v>
      </c>
      <c r="C25" s="274" t="s">
        <v>184</v>
      </c>
      <c r="D25" s="270"/>
      <c r="E25" s="277">
        <v>700.0</v>
      </c>
      <c r="F25" s="270"/>
      <c r="G25" s="277">
        <v>700.0</v>
      </c>
      <c r="H25" s="270"/>
      <c r="I25" s="277">
        <v>700.0</v>
      </c>
      <c r="J25" s="270"/>
      <c r="K25" s="277">
        <v>700.0</v>
      </c>
      <c r="L25" s="270"/>
      <c r="M25" s="277">
        <v>700.0</v>
      </c>
      <c r="N25" s="270"/>
      <c r="O25" s="277">
        <v>700.0</v>
      </c>
      <c r="P25" s="270"/>
      <c r="Q25" s="277">
        <v>700.0</v>
      </c>
      <c r="R25" s="270"/>
      <c r="S25" s="277">
        <v>700.0</v>
      </c>
      <c r="T25" s="270"/>
      <c r="U25" s="277">
        <v>700.0</v>
      </c>
    </row>
    <row r="26">
      <c r="B26" s="268">
        <v>12.0</v>
      </c>
      <c r="C26" s="274" t="s">
        <v>185</v>
      </c>
      <c r="D26" s="270"/>
      <c r="E26" s="277">
        <v>500.0</v>
      </c>
      <c r="F26" s="270"/>
      <c r="G26" s="277">
        <v>500.0</v>
      </c>
      <c r="H26" s="270"/>
      <c r="I26" s="277">
        <v>500.0</v>
      </c>
      <c r="J26" s="270"/>
      <c r="K26" s="277">
        <v>500.0</v>
      </c>
      <c r="L26" s="270"/>
      <c r="M26" s="277">
        <v>500.0</v>
      </c>
      <c r="N26" s="270"/>
      <c r="O26" s="277">
        <v>500.0</v>
      </c>
      <c r="P26" s="270"/>
      <c r="Q26" s="277">
        <v>500.0</v>
      </c>
      <c r="R26" s="270"/>
      <c r="S26" s="277">
        <v>500.0</v>
      </c>
      <c r="T26" s="270"/>
      <c r="U26" s="277">
        <v>500.0</v>
      </c>
    </row>
    <row r="27">
      <c r="B27" s="268">
        <v>12.0</v>
      </c>
      <c r="C27" s="274" t="s">
        <v>186</v>
      </c>
      <c r="D27" s="270"/>
      <c r="E27" s="277">
        <v>1500.0</v>
      </c>
      <c r="F27" s="270"/>
      <c r="G27" s="277">
        <v>1500.0</v>
      </c>
      <c r="H27" s="270"/>
      <c r="I27" s="277">
        <v>1500.0</v>
      </c>
      <c r="J27" s="270"/>
      <c r="K27" s="277">
        <v>1500.0</v>
      </c>
      <c r="L27" s="270"/>
      <c r="M27" s="277">
        <v>1500.0</v>
      </c>
      <c r="N27" s="270"/>
      <c r="O27" s="277">
        <v>1500.0</v>
      </c>
      <c r="P27" s="270"/>
      <c r="Q27" s="277">
        <v>1500.0</v>
      </c>
      <c r="R27" s="270"/>
      <c r="S27" s="277">
        <v>1500.0</v>
      </c>
      <c r="T27" s="270"/>
      <c r="U27" s="277">
        <v>1500.0</v>
      </c>
    </row>
    <row r="28">
      <c r="B28" s="268">
        <v>13.0</v>
      </c>
      <c r="C28" s="274" t="s">
        <v>187</v>
      </c>
      <c r="D28" s="270"/>
      <c r="E28" s="277">
        <v>2600.0</v>
      </c>
      <c r="F28" s="270"/>
      <c r="G28" s="277">
        <v>2600.0</v>
      </c>
      <c r="H28" s="270"/>
      <c r="I28" s="277">
        <v>2600.0</v>
      </c>
      <c r="J28" s="270"/>
      <c r="K28" s="277">
        <v>2600.0</v>
      </c>
      <c r="L28" s="270"/>
      <c r="M28" s="277">
        <v>2600.0</v>
      </c>
      <c r="N28" s="270">
        <f>1500+1500</f>
        <v>3000</v>
      </c>
      <c r="O28" s="277">
        <v>2600.0</v>
      </c>
      <c r="P28" s="270"/>
      <c r="Q28" s="277">
        <v>2600.0</v>
      </c>
      <c r="R28" s="270"/>
      <c r="S28" s="277">
        <v>2600.0</v>
      </c>
      <c r="T28" s="270"/>
      <c r="U28" s="277">
        <v>2600.0</v>
      </c>
    </row>
    <row r="29">
      <c r="B29" s="268"/>
      <c r="C29" s="274"/>
      <c r="D29" s="270"/>
      <c r="E29" s="275"/>
      <c r="F29" s="270"/>
      <c r="G29" s="275"/>
      <c r="H29" s="270"/>
      <c r="I29" s="275"/>
      <c r="J29" s="270"/>
      <c r="K29" s="275"/>
      <c r="L29" s="270"/>
      <c r="M29" s="275"/>
      <c r="N29" s="270"/>
      <c r="O29" s="275"/>
      <c r="P29" s="270"/>
      <c r="Q29" s="275"/>
      <c r="R29" s="270"/>
      <c r="S29" s="275"/>
      <c r="T29" s="270"/>
      <c r="U29" s="275"/>
    </row>
    <row r="30" collapsed="1">
      <c r="B30" s="279"/>
      <c r="C30" s="280" t="s">
        <v>191</v>
      </c>
      <c r="D30" s="281"/>
      <c r="E30" s="282">
        <f>E11+E17</f>
        <v>56180</v>
      </c>
      <c r="F30" s="281"/>
      <c r="G30" s="282">
        <f>G11+G17</f>
        <v>67390</v>
      </c>
      <c r="H30" s="281"/>
      <c r="I30" s="282">
        <f>I11+I17</f>
        <v>57040</v>
      </c>
      <c r="J30" s="281"/>
      <c r="K30" s="282">
        <f>K11+K17</f>
        <v>47230</v>
      </c>
      <c r="L30" s="281"/>
      <c r="M30" s="282">
        <f>M11+M17</f>
        <v>48190</v>
      </c>
      <c r="N30" s="281"/>
      <c r="O30" s="282">
        <f>O11+O17</f>
        <v>41650</v>
      </c>
      <c r="P30" s="281"/>
      <c r="Q30" s="282">
        <f>Q11+Q17</f>
        <v>49790</v>
      </c>
      <c r="R30" s="281"/>
      <c r="S30" s="282">
        <f>S11+S17</f>
        <v>64830</v>
      </c>
      <c r="T30" s="281"/>
      <c r="U30" s="282">
        <f>U11+U17</f>
        <v>56200</v>
      </c>
    </row>
    <row r="31" ht="8.25" hidden="1" customHeight="1" outlineLevel="1" collapsed="1">
      <c r="B31" s="283"/>
      <c r="C31" s="284"/>
      <c r="D31" s="285"/>
      <c r="E31" s="286"/>
      <c r="F31" s="285"/>
      <c r="G31" s="286"/>
      <c r="H31" s="285"/>
      <c r="I31" s="286"/>
      <c r="J31" s="285"/>
      <c r="K31" s="286"/>
      <c r="L31" s="285"/>
      <c r="M31" s="286"/>
      <c r="N31" s="285"/>
      <c r="O31" s="286"/>
      <c r="P31" s="285"/>
      <c r="Q31" s="286"/>
      <c r="R31" s="285"/>
      <c r="S31" s="286"/>
      <c r="T31" s="285"/>
      <c r="U31" s="286"/>
    </row>
    <row r="32" hidden="1" outlineLevel="2"/>
    <row r="33" hidden="1" outlineLevel="2">
      <c r="B33" s="287" t="s">
        <v>192</v>
      </c>
      <c r="C33" s="244"/>
      <c r="D33" s="244"/>
      <c r="E33" s="244"/>
      <c r="F33" s="244"/>
      <c r="G33" s="244"/>
      <c r="H33" s="244"/>
      <c r="I33" s="244"/>
      <c r="J33" s="244"/>
      <c r="K33" s="244"/>
      <c r="L33" s="244"/>
      <c r="M33" s="244"/>
      <c r="N33" s="244"/>
      <c r="O33" s="244"/>
      <c r="P33" s="244"/>
      <c r="Q33" s="244"/>
      <c r="R33" s="244"/>
      <c r="S33" s="244"/>
      <c r="T33" s="244"/>
      <c r="U33" s="245"/>
    </row>
    <row r="34" hidden="1" outlineLevel="2">
      <c r="B34" s="264"/>
      <c r="C34" s="288"/>
      <c r="D34" s="255" t="s">
        <v>167</v>
      </c>
      <c r="E34" s="57"/>
      <c r="F34" s="255" t="s">
        <v>167</v>
      </c>
      <c r="G34" s="57"/>
      <c r="H34" s="255" t="s">
        <v>167</v>
      </c>
      <c r="I34" s="57"/>
      <c r="J34" s="255" t="s">
        <v>167</v>
      </c>
      <c r="K34" s="57"/>
      <c r="L34" s="255" t="s">
        <v>167</v>
      </c>
      <c r="M34" s="57"/>
      <c r="N34" s="255" t="s">
        <v>167</v>
      </c>
      <c r="O34" s="57"/>
      <c r="P34" s="255" t="s">
        <v>167</v>
      </c>
      <c r="Q34" s="57"/>
      <c r="R34" s="255" t="s">
        <v>167</v>
      </c>
      <c r="S34" s="57"/>
      <c r="T34" s="255" t="s">
        <v>167</v>
      </c>
      <c r="U34" s="57"/>
    </row>
    <row r="35" hidden="1" outlineLevel="2">
      <c r="B35" s="268"/>
      <c r="C35" s="289" t="s">
        <v>193</v>
      </c>
      <c r="D35" s="290"/>
      <c r="E35" s="267">
        <f>SUM(E37:E40)</f>
        <v>12233</v>
      </c>
      <c r="F35" s="290"/>
      <c r="G35" s="267">
        <f>SUM(G37:G40)</f>
        <v>12233</v>
      </c>
      <c r="H35" s="290"/>
      <c r="I35" s="267">
        <f>SUM(I37:I40)</f>
        <v>12233</v>
      </c>
      <c r="J35" s="290"/>
      <c r="K35" s="267">
        <f>SUM(K37:K40)</f>
        <v>12233</v>
      </c>
      <c r="L35" s="290"/>
      <c r="M35" s="267">
        <f>SUM(M37:M40)</f>
        <v>12233</v>
      </c>
      <c r="N35" s="290"/>
      <c r="O35" s="267">
        <f>SUM(O37:O40)</f>
        <v>12233</v>
      </c>
      <c r="P35" s="290"/>
      <c r="Q35" s="267">
        <f>SUM(Q37:Q40)</f>
        <v>12233</v>
      </c>
      <c r="R35" s="290"/>
      <c r="S35" s="267">
        <f>SUM(S37:S40)</f>
        <v>12233</v>
      </c>
      <c r="T35" s="290"/>
      <c r="U35" s="267">
        <f>SUM(U37:U40)</f>
        <v>12233</v>
      </c>
    </row>
    <row r="36" hidden="1" outlineLevel="2">
      <c r="B36" s="268"/>
      <c r="C36" s="274" t="s">
        <v>194</v>
      </c>
      <c r="D36" s="290"/>
      <c r="E36" s="277"/>
      <c r="F36" s="290"/>
      <c r="G36" s="277"/>
      <c r="H36" s="290"/>
      <c r="I36" s="277"/>
      <c r="J36" s="290"/>
      <c r="K36" s="277"/>
      <c r="L36" s="290"/>
      <c r="M36" s="277"/>
      <c r="N36" s="290"/>
      <c r="O36" s="277"/>
      <c r="P36" s="290"/>
      <c r="Q36" s="277"/>
      <c r="R36" s="290"/>
      <c r="S36" s="277"/>
      <c r="T36" s="290"/>
      <c r="U36" s="277"/>
    </row>
    <row r="37" hidden="1" outlineLevel="2">
      <c r="B37" s="268">
        <v>14.0</v>
      </c>
      <c r="C37" s="274" t="s">
        <v>195</v>
      </c>
      <c r="D37" s="290"/>
      <c r="E37" s="277">
        <v>10500.0</v>
      </c>
      <c r="F37" s="290"/>
      <c r="G37" s="277">
        <f>E37</f>
        <v>10500</v>
      </c>
      <c r="H37" s="290"/>
      <c r="I37" s="277">
        <f>G37</f>
        <v>10500</v>
      </c>
      <c r="J37" s="290"/>
      <c r="K37" s="277">
        <f>I37</f>
        <v>10500</v>
      </c>
      <c r="L37" s="290"/>
      <c r="M37" s="277">
        <f>K37</f>
        <v>10500</v>
      </c>
      <c r="N37" s="290"/>
      <c r="O37" s="277">
        <f>M37</f>
        <v>10500</v>
      </c>
      <c r="P37" s="290"/>
      <c r="Q37" s="277">
        <f>O37</f>
        <v>10500</v>
      </c>
      <c r="R37" s="290"/>
      <c r="S37" s="277">
        <f>Q37</f>
        <v>10500</v>
      </c>
      <c r="T37" s="290"/>
      <c r="U37" s="277">
        <f>S37</f>
        <v>10500</v>
      </c>
    </row>
    <row r="38" hidden="1" outlineLevel="2">
      <c r="B38" s="268">
        <v>15.0</v>
      </c>
      <c r="C38" s="274" t="s">
        <v>188</v>
      </c>
      <c r="D38" s="270"/>
      <c r="E38" s="277">
        <v>130.0</v>
      </c>
      <c r="F38" s="270"/>
      <c r="G38" s="277">
        <v>130.0</v>
      </c>
      <c r="H38" s="270"/>
      <c r="I38" s="277">
        <v>130.0</v>
      </c>
      <c r="J38" s="270"/>
      <c r="K38" s="277">
        <v>130.0</v>
      </c>
      <c r="L38" s="270"/>
      <c r="M38" s="277">
        <v>130.0</v>
      </c>
      <c r="N38" s="270"/>
      <c r="O38" s="277">
        <v>130.0</v>
      </c>
      <c r="P38" s="270"/>
      <c r="Q38" s="277">
        <v>130.0</v>
      </c>
      <c r="R38" s="270"/>
      <c r="S38" s="277">
        <v>130.0</v>
      </c>
      <c r="T38" s="270"/>
      <c r="U38" s="277">
        <v>130.0</v>
      </c>
    </row>
    <row r="39" hidden="1" outlineLevel="2">
      <c r="B39" s="268">
        <v>16.0</v>
      </c>
      <c r="C39" s="274" t="s">
        <v>189</v>
      </c>
      <c r="D39" s="270"/>
      <c r="E39" s="277">
        <v>800.0</v>
      </c>
      <c r="F39" s="270"/>
      <c r="G39" s="277">
        <v>800.0</v>
      </c>
      <c r="H39" s="270"/>
      <c r="I39" s="277">
        <v>800.0</v>
      </c>
      <c r="J39" s="270"/>
      <c r="K39" s="277">
        <v>800.0</v>
      </c>
      <c r="L39" s="270"/>
      <c r="M39" s="277">
        <v>800.0</v>
      </c>
      <c r="N39" s="270"/>
      <c r="O39" s="277">
        <v>800.0</v>
      </c>
      <c r="P39" s="270"/>
      <c r="Q39" s="277">
        <v>800.0</v>
      </c>
      <c r="R39" s="270"/>
      <c r="S39" s="277">
        <v>800.0</v>
      </c>
      <c r="T39" s="270"/>
      <c r="U39" s="277">
        <v>800.0</v>
      </c>
    </row>
    <row r="40" hidden="1" outlineLevel="2">
      <c r="B40" s="268">
        <v>17.0</v>
      </c>
      <c r="C40" s="274" t="s">
        <v>190</v>
      </c>
      <c r="D40" s="270"/>
      <c r="E40" s="277">
        <v>803.0</v>
      </c>
      <c r="F40" s="270"/>
      <c r="G40" s="277">
        <v>803.0</v>
      </c>
      <c r="H40" s="270"/>
      <c r="I40" s="277">
        <v>803.0</v>
      </c>
      <c r="J40" s="270"/>
      <c r="K40" s="277">
        <v>803.0</v>
      </c>
      <c r="L40" s="270"/>
      <c r="M40" s="277">
        <v>803.0</v>
      </c>
      <c r="N40" s="270"/>
      <c r="O40" s="277">
        <v>803.0</v>
      </c>
      <c r="P40" s="270"/>
      <c r="Q40" s="277">
        <v>803.0</v>
      </c>
      <c r="R40" s="270"/>
      <c r="S40" s="277">
        <v>803.0</v>
      </c>
      <c r="T40" s="270"/>
      <c r="U40" s="277">
        <v>803.0</v>
      </c>
    </row>
    <row r="41" hidden="1" outlineLevel="2">
      <c r="B41" s="268"/>
      <c r="C41" s="291"/>
      <c r="D41" s="292"/>
      <c r="E41" s="293"/>
      <c r="F41" s="292"/>
      <c r="G41" s="293"/>
      <c r="H41" s="292"/>
      <c r="I41" s="293"/>
      <c r="J41" s="294"/>
      <c r="K41" s="295"/>
      <c r="L41" s="294"/>
      <c r="M41" s="295"/>
      <c r="N41" s="294"/>
      <c r="O41" s="295"/>
      <c r="P41" s="294"/>
      <c r="Q41" s="295"/>
      <c r="R41" s="294"/>
      <c r="S41" s="295"/>
      <c r="T41" s="294"/>
      <c r="U41" s="295"/>
    </row>
    <row r="42" hidden="1" outlineLevel="2">
      <c r="B42" s="296"/>
      <c r="C42" s="297" t="s">
        <v>196</v>
      </c>
      <c r="D42" s="298"/>
      <c r="E42" s="299">
        <f>E30+E35</f>
        <v>68413</v>
      </c>
      <c r="F42" s="298"/>
      <c r="G42" s="299">
        <f>G30+G35</f>
        <v>79623</v>
      </c>
      <c r="H42" s="298"/>
      <c r="I42" s="299">
        <f>I30+I35</f>
        <v>69273</v>
      </c>
      <c r="J42" s="298"/>
      <c r="K42" s="299">
        <f>K30+K35</f>
        <v>59463</v>
      </c>
      <c r="L42" s="298"/>
      <c r="M42" s="299">
        <f>M30+M35</f>
        <v>60423</v>
      </c>
      <c r="N42" s="298"/>
      <c r="O42" s="299">
        <f>O30+O35</f>
        <v>53883</v>
      </c>
      <c r="P42" s="298"/>
      <c r="Q42" s="299">
        <f>Q30+Q35</f>
        <v>62023</v>
      </c>
      <c r="R42" s="298"/>
      <c r="S42" s="299">
        <f>S30+S35</f>
        <v>77063</v>
      </c>
      <c r="T42" s="298"/>
      <c r="U42" s="299">
        <f>U30+U35</f>
        <v>68433</v>
      </c>
    </row>
    <row r="43" hidden="1" outlineLevel="2"/>
    <row r="44" hidden="1" outlineLevel="2">
      <c r="C44" s="300" t="s">
        <v>197</v>
      </c>
      <c r="E44" s="301">
        <v>67000.0</v>
      </c>
      <c r="G44" s="301">
        <v>67000.0</v>
      </c>
      <c r="I44" s="301">
        <v>67000.0</v>
      </c>
      <c r="K44" s="301">
        <v>63000.0</v>
      </c>
      <c r="M44" s="301">
        <v>59000.0</v>
      </c>
      <c r="O44" s="301">
        <v>59000.0</v>
      </c>
      <c r="Q44" s="301">
        <v>66000.0</v>
      </c>
      <c r="S44" s="301">
        <v>81000.0</v>
      </c>
      <c r="U44" s="301"/>
    </row>
    <row r="45" ht="5.25" hidden="1" customHeight="1" outlineLevel="2"/>
    <row r="46" hidden="1" outlineLevel="2">
      <c r="C46" s="1" t="s">
        <v>89</v>
      </c>
      <c r="E46" s="302">
        <f>E44-E42</f>
        <v>-1413</v>
      </c>
      <c r="G46" s="302">
        <f>G44-G42</f>
        <v>-12623</v>
      </c>
      <c r="I46" s="302">
        <f>I44-I42</f>
        <v>-2273</v>
      </c>
      <c r="K46" s="302">
        <f>K44-K42</f>
        <v>3537</v>
      </c>
      <c r="M46" s="302">
        <f>M44-M42</f>
        <v>-1423</v>
      </c>
      <c r="O46" s="302">
        <f>O44-O42</f>
        <v>5117</v>
      </c>
      <c r="Q46" s="302">
        <f>Q44-Q42</f>
        <v>3977</v>
      </c>
      <c r="S46" s="302">
        <f>S44-S42</f>
        <v>3937</v>
      </c>
      <c r="U46" s="302"/>
    </row>
    <row r="47" hidden="1" outlineLevel="2"/>
    <row r="48" hidden="1" outlineLevel="2">
      <c r="B48" s="303" t="s">
        <v>198</v>
      </c>
      <c r="C48" s="244"/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245"/>
    </row>
    <row r="49" hidden="1" outlineLevel="2">
      <c r="D49" s="243" t="s">
        <v>155</v>
      </c>
      <c r="E49" s="244"/>
      <c r="F49" s="244"/>
      <c r="G49" s="244"/>
      <c r="H49" s="244"/>
      <c r="I49" s="245"/>
      <c r="J49" s="246" t="s">
        <v>156</v>
      </c>
      <c r="K49" s="245"/>
      <c r="L49" s="246" t="s">
        <v>157</v>
      </c>
      <c r="M49" s="245"/>
      <c r="N49" s="247" t="s">
        <v>158</v>
      </c>
      <c r="O49" s="245"/>
      <c r="P49" s="246" t="s">
        <v>159</v>
      </c>
      <c r="Q49" s="245"/>
      <c r="R49" s="246" t="s">
        <v>160</v>
      </c>
      <c r="S49" s="245"/>
      <c r="T49" s="246" t="s">
        <v>161</v>
      </c>
      <c r="U49" s="245"/>
    </row>
    <row r="50" hidden="1" outlineLevel="1">
      <c r="B50" s="1"/>
      <c r="C50" s="1"/>
      <c r="D50" s="255" t="s">
        <v>167</v>
      </c>
      <c r="E50" s="57"/>
      <c r="F50" s="255" t="s">
        <v>167</v>
      </c>
      <c r="G50" s="57"/>
      <c r="H50" s="255" t="s">
        <v>167</v>
      </c>
      <c r="I50" s="57"/>
      <c r="J50" s="255" t="s">
        <v>167</v>
      </c>
      <c r="K50" s="57"/>
      <c r="L50" s="255" t="s">
        <v>167</v>
      </c>
      <c r="M50" s="57"/>
      <c r="N50" s="255" t="s">
        <v>167</v>
      </c>
      <c r="O50" s="57"/>
      <c r="P50" s="255" t="s">
        <v>167</v>
      </c>
      <c r="Q50" s="57"/>
      <c r="R50" s="255" t="s">
        <v>167</v>
      </c>
      <c r="S50" s="57"/>
      <c r="T50" s="255" t="s">
        <v>167</v>
      </c>
      <c r="U50" s="57"/>
    </row>
    <row r="51" hidden="1" outlineLevel="1">
      <c r="B51" s="268"/>
      <c r="C51" s="289" t="s">
        <v>199</v>
      </c>
      <c r="D51" s="290"/>
      <c r="E51" s="267">
        <f>SUM(E53:E56)</f>
        <v>30733</v>
      </c>
      <c r="F51" s="290"/>
      <c r="G51" s="267">
        <f>SUM(G53:G56)</f>
        <v>30733</v>
      </c>
      <c r="H51" s="290"/>
      <c r="I51" s="267">
        <f>SUM(I53:I56)</f>
        <v>30733</v>
      </c>
      <c r="J51" s="290"/>
      <c r="K51" s="267">
        <f>SUM(K53:K56)</f>
        <v>30733</v>
      </c>
      <c r="L51" s="290"/>
      <c r="M51" s="267">
        <f>SUM(M53:M56)</f>
        <v>30733</v>
      </c>
      <c r="N51" s="290"/>
      <c r="O51" s="267">
        <f>SUM(O53:O56)</f>
        <v>30733</v>
      </c>
      <c r="P51" s="290"/>
      <c r="Q51" s="267">
        <f>SUM(Q53:Q56)</f>
        <v>30733</v>
      </c>
      <c r="R51" s="290"/>
      <c r="S51" s="267">
        <f>SUM(S53:S56)</f>
        <v>30733</v>
      </c>
      <c r="T51" s="290"/>
      <c r="U51" s="267">
        <f>SUM(U53:U56)</f>
        <v>30733</v>
      </c>
    </row>
    <row r="52" hidden="1" outlineLevel="1">
      <c r="B52" s="268"/>
      <c r="C52" s="274" t="s">
        <v>200</v>
      </c>
      <c r="D52" s="290"/>
      <c r="E52" s="277"/>
      <c r="F52" s="290"/>
      <c r="G52" s="277"/>
      <c r="H52" s="290"/>
      <c r="I52" s="277"/>
      <c r="J52" s="290"/>
      <c r="K52" s="277"/>
      <c r="L52" s="290"/>
      <c r="M52" s="277"/>
      <c r="N52" s="290"/>
      <c r="O52" s="277"/>
      <c r="P52" s="290"/>
      <c r="Q52" s="277"/>
      <c r="R52" s="290"/>
      <c r="S52" s="277"/>
      <c r="T52" s="290"/>
      <c r="U52" s="277"/>
    </row>
    <row r="53" hidden="1" outlineLevel="1">
      <c r="B53" s="268">
        <v>14.0</v>
      </c>
      <c r="C53" s="274" t="s">
        <v>195</v>
      </c>
      <c r="D53" s="290"/>
      <c r="E53" s="277">
        <v>29000.0</v>
      </c>
      <c r="F53" s="290"/>
      <c r="G53" s="277">
        <f>E53</f>
        <v>29000</v>
      </c>
      <c r="H53" s="290"/>
      <c r="I53" s="277">
        <f>G53</f>
        <v>29000</v>
      </c>
      <c r="J53" s="290"/>
      <c r="K53" s="277">
        <f>I53</f>
        <v>29000</v>
      </c>
      <c r="L53" s="290"/>
      <c r="M53" s="277">
        <f>K53</f>
        <v>29000</v>
      </c>
      <c r="N53" s="290"/>
      <c r="O53" s="277">
        <f>M53</f>
        <v>29000</v>
      </c>
      <c r="P53" s="290"/>
      <c r="Q53" s="277">
        <f>O53</f>
        <v>29000</v>
      </c>
      <c r="R53" s="290"/>
      <c r="S53" s="277">
        <f>Q53</f>
        <v>29000</v>
      </c>
      <c r="T53" s="290"/>
      <c r="U53" s="277">
        <f>S53</f>
        <v>29000</v>
      </c>
    </row>
    <row r="54" hidden="1" outlineLevel="1">
      <c r="B54" s="268">
        <v>15.0</v>
      </c>
      <c r="C54" s="274" t="s">
        <v>188</v>
      </c>
      <c r="D54" s="270"/>
      <c r="E54" s="277">
        <v>130.0</v>
      </c>
      <c r="F54" s="270"/>
      <c r="G54" s="277">
        <v>130.0</v>
      </c>
      <c r="H54" s="270"/>
      <c r="I54" s="277">
        <v>130.0</v>
      </c>
      <c r="J54" s="270"/>
      <c r="K54" s="277">
        <v>130.0</v>
      </c>
      <c r="L54" s="270"/>
      <c r="M54" s="277">
        <v>130.0</v>
      </c>
      <c r="N54" s="270"/>
      <c r="O54" s="277">
        <v>130.0</v>
      </c>
      <c r="P54" s="270"/>
      <c r="Q54" s="277">
        <v>130.0</v>
      </c>
      <c r="R54" s="270"/>
      <c r="S54" s="277">
        <v>130.0</v>
      </c>
      <c r="T54" s="270"/>
      <c r="U54" s="277">
        <v>130.0</v>
      </c>
    </row>
    <row r="55" hidden="1" outlineLevel="1">
      <c r="B55" s="268">
        <v>16.0</v>
      </c>
      <c r="C55" s="274" t="s">
        <v>189</v>
      </c>
      <c r="D55" s="270"/>
      <c r="E55" s="277">
        <v>800.0</v>
      </c>
      <c r="F55" s="270"/>
      <c r="G55" s="277">
        <v>800.0</v>
      </c>
      <c r="H55" s="270"/>
      <c r="I55" s="277">
        <v>800.0</v>
      </c>
      <c r="J55" s="270"/>
      <c r="K55" s="277">
        <v>800.0</v>
      </c>
      <c r="L55" s="270"/>
      <c r="M55" s="277">
        <v>800.0</v>
      </c>
      <c r="N55" s="270"/>
      <c r="O55" s="277">
        <v>800.0</v>
      </c>
      <c r="P55" s="270"/>
      <c r="Q55" s="277">
        <v>800.0</v>
      </c>
      <c r="R55" s="270"/>
      <c r="S55" s="277">
        <v>800.0</v>
      </c>
      <c r="T55" s="270"/>
      <c r="U55" s="277">
        <v>800.0</v>
      </c>
    </row>
    <row r="56" hidden="1" outlineLevel="1">
      <c r="B56" s="268">
        <v>17.0</v>
      </c>
      <c r="C56" s="274" t="s">
        <v>190</v>
      </c>
      <c r="D56" s="270"/>
      <c r="E56" s="277">
        <v>803.0</v>
      </c>
      <c r="F56" s="270"/>
      <c r="G56" s="277">
        <v>803.0</v>
      </c>
      <c r="H56" s="270"/>
      <c r="I56" s="277">
        <v>803.0</v>
      </c>
      <c r="J56" s="270"/>
      <c r="K56" s="277">
        <v>803.0</v>
      </c>
      <c r="L56" s="270"/>
      <c r="M56" s="277">
        <v>803.0</v>
      </c>
      <c r="N56" s="270"/>
      <c r="O56" s="277">
        <v>803.0</v>
      </c>
      <c r="P56" s="270"/>
      <c r="Q56" s="277">
        <v>803.0</v>
      </c>
      <c r="R56" s="270"/>
      <c r="S56" s="277">
        <v>803.0</v>
      </c>
      <c r="T56" s="270"/>
      <c r="U56" s="277">
        <v>803.0</v>
      </c>
    </row>
    <row r="57" hidden="1" outlineLevel="1">
      <c r="B57" s="268"/>
      <c r="C57" s="291"/>
      <c r="D57" s="292"/>
      <c r="E57" s="293"/>
      <c r="F57" s="292"/>
      <c r="G57" s="293"/>
      <c r="H57" s="292"/>
      <c r="I57" s="293"/>
      <c r="J57" s="294"/>
      <c r="K57" s="295"/>
      <c r="L57" s="294"/>
      <c r="M57" s="295"/>
      <c r="N57" s="294"/>
      <c r="O57" s="295"/>
      <c r="P57" s="294"/>
      <c r="Q57" s="295"/>
      <c r="R57" s="294"/>
      <c r="S57" s="295"/>
      <c r="T57" s="294"/>
      <c r="U57" s="295"/>
    </row>
    <row r="58" hidden="1" outlineLevel="1">
      <c r="B58" s="296"/>
      <c r="C58" s="297" t="s">
        <v>196</v>
      </c>
      <c r="D58" s="298"/>
      <c r="E58" s="299">
        <f>E30+E51</f>
        <v>86913</v>
      </c>
      <c r="F58" s="298"/>
      <c r="G58" s="299">
        <f>G30+G51</f>
        <v>98123</v>
      </c>
      <c r="H58" s="298"/>
      <c r="I58" s="299">
        <f>I30+I51</f>
        <v>87773</v>
      </c>
      <c r="J58" s="298"/>
      <c r="K58" s="299">
        <f>K30+K51</f>
        <v>77963</v>
      </c>
      <c r="L58" s="298"/>
      <c r="M58" s="299">
        <f>M30+M51</f>
        <v>78923</v>
      </c>
      <c r="N58" s="298"/>
      <c r="O58" s="299">
        <f>O30+O51</f>
        <v>72383</v>
      </c>
      <c r="P58" s="298"/>
      <c r="Q58" s="299">
        <f>Q30+Q51</f>
        <v>80523</v>
      </c>
      <c r="R58" s="298"/>
      <c r="S58" s="299">
        <f>S30+S51</f>
        <v>95563</v>
      </c>
      <c r="T58" s="298"/>
      <c r="U58" s="299">
        <f>U30+U51</f>
        <v>86933</v>
      </c>
    </row>
    <row r="59" hidden="1" outlineLevel="1"/>
    <row r="60" hidden="1" outlineLevel="1">
      <c r="C60" s="300" t="s">
        <v>197</v>
      </c>
      <c r="E60" s="301">
        <v>85000.0</v>
      </c>
      <c r="G60" s="301">
        <v>85000.0</v>
      </c>
      <c r="I60" s="301">
        <v>85000.0</v>
      </c>
      <c r="K60" s="301">
        <v>82000.0</v>
      </c>
      <c r="M60" s="301">
        <v>78000.0</v>
      </c>
      <c r="O60" s="301">
        <v>78000.0</v>
      </c>
      <c r="Q60" s="301">
        <v>85000.0</v>
      </c>
      <c r="S60" s="301">
        <v>100000.0</v>
      </c>
      <c r="U60" s="301"/>
    </row>
    <row r="61" ht="5.25" hidden="1" customHeight="1" outlineLevel="1"/>
    <row r="62" hidden="1" outlineLevel="1">
      <c r="C62" s="1" t="s">
        <v>89</v>
      </c>
      <c r="E62" s="302">
        <f>E60-E58</f>
        <v>-1913</v>
      </c>
      <c r="G62" s="302">
        <f>G60-G58</f>
        <v>-13123</v>
      </c>
      <c r="I62" s="302">
        <f>I60-I58</f>
        <v>-2773</v>
      </c>
      <c r="K62" s="302">
        <f>K60-K58</f>
        <v>4037</v>
      </c>
      <c r="M62" s="302">
        <f>M60-M58</f>
        <v>-923</v>
      </c>
      <c r="O62" s="302">
        <f>O60-O58</f>
        <v>5617</v>
      </c>
      <c r="Q62" s="302">
        <f>Q60-Q58</f>
        <v>4477</v>
      </c>
      <c r="S62" s="302">
        <f>S60-S58</f>
        <v>4437</v>
      </c>
      <c r="U62" s="302">
        <f>U60-U58</f>
        <v>-86933</v>
      </c>
    </row>
    <row r="63" hidden="1" outlineLevel="1"/>
    <row r="64" hidden="1" outlineLevel="1"/>
    <row r="65">
      <c r="B65" s="303" t="s">
        <v>201</v>
      </c>
      <c r="C65" s="244"/>
      <c r="D65" s="244"/>
      <c r="E65" s="244"/>
      <c r="F65" s="244"/>
      <c r="G65" s="244"/>
      <c r="H65" s="244"/>
      <c r="I65" s="244"/>
      <c r="J65" s="304"/>
      <c r="K65" s="304"/>
      <c r="L65" s="304"/>
      <c r="M65" s="304"/>
      <c r="N65" s="304"/>
      <c r="O65" s="304"/>
      <c r="P65" s="304"/>
      <c r="Q65" s="304"/>
      <c r="R65" s="304"/>
      <c r="S65" s="304"/>
      <c r="T65" s="304"/>
      <c r="U65" s="305"/>
    </row>
    <row r="66">
      <c r="D66" s="243" t="s">
        <v>155</v>
      </c>
      <c r="E66" s="244"/>
      <c r="F66" s="244"/>
      <c r="G66" s="244"/>
      <c r="H66" s="244"/>
      <c r="I66" s="245"/>
      <c r="J66" s="246" t="s">
        <v>156</v>
      </c>
      <c r="K66" s="245"/>
      <c r="L66" s="246" t="s">
        <v>157</v>
      </c>
      <c r="M66" s="245"/>
      <c r="N66" s="247" t="s">
        <v>158</v>
      </c>
      <c r="O66" s="245"/>
      <c r="P66" s="246" t="s">
        <v>159</v>
      </c>
      <c r="Q66" s="245"/>
      <c r="R66" s="246" t="s">
        <v>160</v>
      </c>
      <c r="S66" s="245"/>
      <c r="T66" s="246" t="s">
        <v>161</v>
      </c>
      <c r="U66" s="245"/>
    </row>
    <row r="67">
      <c r="B67" s="1"/>
      <c r="C67" s="1"/>
      <c r="D67" s="255" t="s">
        <v>167</v>
      </c>
      <c r="E67" s="57"/>
      <c r="F67" s="255" t="s">
        <v>167</v>
      </c>
      <c r="G67" s="57"/>
      <c r="H67" s="255" t="s">
        <v>167</v>
      </c>
      <c r="I67" s="57"/>
      <c r="J67" s="255" t="s">
        <v>167</v>
      </c>
      <c r="K67" s="57"/>
      <c r="L67" s="255" t="s">
        <v>167</v>
      </c>
      <c r="M67" s="57"/>
      <c r="N67" s="255" t="s">
        <v>167</v>
      </c>
      <c r="O67" s="57"/>
      <c r="P67" s="255" t="s">
        <v>167</v>
      </c>
      <c r="Q67" s="57"/>
      <c r="R67" s="255" t="s">
        <v>167</v>
      </c>
      <c r="S67" s="57"/>
      <c r="T67" s="255" t="s">
        <v>167</v>
      </c>
      <c r="U67" s="57"/>
    </row>
    <row r="68">
      <c r="B68" s="268"/>
      <c r="C68" s="289" t="s">
        <v>199</v>
      </c>
      <c r="D68" s="290"/>
      <c r="E68" s="267">
        <f>SUM(E69:E74)</f>
        <v>25233</v>
      </c>
      <c r="F68" s="290"/>
      <c r="G68" s="267">
        <f>SUM(G69:G74)</f>
        <v>25233</v>
      </c>
      <c r="H68" s="290"/>
      <c r="I68" s="267">
        <f>SUM(I69:I74)</f>
        <v>25233</v>
      </c>
      <c r="J68" s="290"/>
      <c r="K68" s="267">
        <f>SUM(K69:K74)</f>
        <v>25233</v>
      </c>
      <c r="L68" s="290"/>
      <c r="M68" s="267">
        <f>SUM(M69:M74)</f>
        <v>25233</v>
      </c>
      <c r="N68" s="290"/>
      <c r="O68" s="267">
        <f>SUM(O69:O74)</f>
        <v>25233</v>
      </c>
      <c r="P68" s="290"/>
      <c r="Q68" s="267">
        <f>SUM(Q69:Q74)</f>
        <v>25233</v>
      </c>
      <c r="R68" s="290"/>
      <c r="S68" s="267">
        <f>SUM(S69:S74)</f>
        <v>25233</v>
      </c>
      <c r="T68" s="290"/>
      <c r="U68" s="267">
        <f>SUM(U69:U74)</f>
        <v>25233</v>
      </c>
    </row>
    <row r="69">
      <c r="B69" s="268"/>
      <c r="C69" s="274" t="s">
        <v>200</v>
      </c>
      <c r="D69" s="290"/>
      <c r="E69" s="277"/>
      <c r="F69" s="290"/>
      <c r="G69" s="277"/>
      <c r="H69" s="290"/>
      <c r="I69" s="277"/>
      <c r="J69" s="290"/>
      <c r="K69" s="277"/>
      <c r="L69" s="290"/>
      <c r="M69" s="277"/>
      <c r="N69" s="290"/>
      <c r="O69" s="277"/>
      <c r="P69" s="290"/>
      <c r="Q69" s="277"/>
      <c r="R69" s="290"/>
      <c r="S69" s="277"/>
      <c r="T69" s="290"/>
      <c r="U69" s="277"/>
    </row>
    <row r="70">
      <c r="B70" s="268">
        <v>14.0</v>
      </c>
      <c r="C70" s="274" t="s">
        <v>195</v>
      </c>
      <c r="D70" s="290"/>
      <c r="E70" s="277">
        <v>23500.0</v>
      </c>
      <c r="F70" s="290"/>
      <c r="G70" s="277">
        <f>E70</f>
        <v>23500</v>
      </c>
      <c r="H70" s="290"/>
      <c r="I70" s="277">
        <f>G70</f>
        <v>23500</v>
      </c>
      <c r="J70" s="290"/>
      <c r="K70" s="277">
        <f>I70</f>
        <v>23500</v>
      </c>
      <c r="L70" s="290"/>
      <c r="M70" s="277">
        <f>K70</f>
        <v>23500</v>
      </c>
      <c r="N70" s="290"/>
      <c r="O70" s="277">
        <f>M70</f>
        <v>23500</v>
      </c>
      <c r="P70" s="290"/>
      <c r="Q70" s="277">
        <f>O70</f>
        <v>23500</v>
      </c>
      <c r="R70" s="290"/>
      <c r="S70" s="277">
        <f>Q70</f>
        <v>23500</v>
      </c>
      <c r="T70" s="290"/>
      <c r="U70" s="277">
        <f>S70</f>
        <v>23500</v>
      </c>
    </row>
    <row r="71">
      <c r="B71" s="268">
        <v>15.0</v>
      </c>
      <c r="C71" s="274" t="s">
        <v>188</v>
      </c>
      <c r="D71" s="270"/>
      <c r="E71" s="277">
        <v>130.0</v>
      </c>
      <c r="F71" s="270"/>
      <c r="G71" s="277">
        <v>130.0</v>
      </c>
      <c r="H71" s="270"/>
      <c r="I71" s="277">
        <v>130.0</v>
      </c>
      <c r="J71" s="270"/>
      <c r="K71" s="277">
        <v>130.0</v>
      </c>
      <c r="L71" s="270"/>
      <c r="M71" s="277">
        <v>130.0</v>
      </c>
      <c r="N71" s="270"/>
      <c r="O71" s="277">
        <v>130.0</v>
      </c>
      <c r="P71" s="270"/>
      <c r="Q71" s="277">
        <v>130.0</v>
      </c>
      <c r="R71" s="270"/>
      <c r="S71" s="277">
        <v>130.0</v>
      </c>
      <c r="T71" s="270"/>
      <c r="U71" s="277">
        <v>130.0</v>
      </c>
    </row>
    <row r="72">
      <c r="B72" s="268">
        <v>16.0</v>
      </c>
      <c r="C72" s="274" t="s">
        <v>189</v>
      </c>
      <c r="D72" s="270"/>
      <c r="E72" s="277">
        <v>800.0</v>
      </c>
      <c r="F72" s="270"/>
      <c r="G72" s="277">
        <v>800.0</v>
      </c>
      <c r="H72" s="270"/>
      <c r="I72" s="277">
        <v>800.0</v>
      </c>
      <c r="J72" s="270"/>
      <c r="K72" s="277">
        <v>800.0</v>
      </c>
      <c r="L72" s="270"/>
      <c r="M72" s="277">
        <v>800.0</v>
      </c>
      <c r="N72" s="270"/>
      <c r="O72" s="277">
        <v>800.0</v>
      </c>
      <c r="P72" s="270"/>
      <c r="Q72" s="277">
        <v>800.0</v>
      </c>
      <c r="R72" s="270"/>
      <c r="S72" s="277">
        <v>800.0</v>
      </c>
      <c r="T72" s="270"/>
      <c r="U72" s="277">
        <v>800.0</v>
      </c>
    </row>
    <row r="73">
      <c r="B73" s="268">
        <v>17.0</v>
      </c>
      <c r="C73" s="274" t="s">
        <v>190</v>
      </c>
      <c r="D73" s="270"/>
      <c r="E73" s="277">
        <v>803.0</v>
      </c>
      <c r="F73" s="270"/>
      <c r="G73" s="277">
        <v>803.0</v>
      </c>
      <c r="H73" s="270"/>
      <c r="I73" s="277">
        <v>803.0</v>
      </c>
      <c r="J73" s="270"/>
      <c r="K73" s="277">
        <v>803.0</v>
      </c>
      <c r="L73" s="270"/>
      <c r="M73" s="277">
        <v>803.0</v>
      </c>
      <c r="N73" s="270"/>
      <c r="O73" s="277">
        <v>803.0</v>
      </c>
      <c r="P73" s="270"/>
      <c r="Q73" s="277">
        <v>803.0</v>
      </c>
      <c r="R73" s="270"/>
      <c r="S73" s="277">
        <v>803.0</v>
      </c>
      <c r="T73" s="270"/>
      <c r="U73" s="277">
        <v>803.0</v>
      </c>
    </row>
    <row r="74">
      <c r="B74" s="268"/>
      <c r="C74" s="291"/>
      <c r="D74" s="292"/>
      <c r="E74" s="293"/>
      <c r="F74" s="292"/>
      <c r="G74" s="293"/>
      <c r="H74" s="292"/>
      <c r="I74" s="293"/>
      <c r="J74" s="294"/>
      <c r="K74" s="295"/>
      <c r="L74" s="294"/>
      <c r="M74" s="295"/>
      <c r="N74" s="294"/>
      <c r="O74" s="295"/>
      <c r="P74" s="294"/>
      <c r="Q74" s="295"/>
      <c r="R74" s="294"/>
      <c r="S74" s="295"/>
      <c r="T74" s="294"/>
      <c r="U74" s="295"/>
    </row>
    <row r="75">
      <c r="B75" s="296"/>
      <c r="C75" s="306" t="s">
        <v>196</v>
      </c>
      <c r="D75" s="307"/>
      <c r="E75" s="308">
        <f>E68+E30</f>
        <v>81413</v>
      </c>
      <c r="F75" s="307"/>
      <c r="G75" s="308">
        <f>G68+G30</f>
        <v>92623</v>
      </c>
      <c r="H75" s="307"/>
      <c r="I75" s="308">
        <f>I68+I30</f>
        <v>82273</v>
      </c>
      <c r="J75" s="307"/>
      <c r="K75" s="308">
        <f>K68+K30</f>
        <v>72463</v>
      </c>
      <c r="L75" s="307"/>
      <c r="M75" s="308">
        <f>M68+M30</f>
        <v>73423</v>
      </c>
      <c r="N75" s="307"/>
      <c r="O75" s="308">
        <f>O68+O30</f>
        <v>66883</v>
      </c>
      <c r="P75" s="307"/>
      <c r="Q75" s="308">
        <f>Q68+Q30</f>
        <v>75023</v>
      </c>
      <c r="R75" s="307"/>
      <c r="S75" s="308">
        <f>S68+S30</f>
        <v>90063</v>
      </c>
      <c r="T75" s="307"/>
      <c r="U75" s="308">
        <f>U68+U30</f>
        <v>81433</v>
      </c>
    </row>
    <row r="77">
      <c r="C77" s="300" t="s">
        <v>197</v>
      </c>
      <c r="E77" s="301">
        <v>86000.0</v>
      </c>
      <c r="G77" s="301"/>
      <c r="I77" s="301"/>
      <c r="K77" s="301"/>
      <c r="M77" s="301"/>
      <c r="O77" s="301"/>
      <c r="Q77" s="301"/>
      <c r="S77" s="301"/>
      <c r="U77" s="301"/>
    </row>
    <row r="79">
      <c r="C79" s="1" t="s">
        <v>89</v>
      </c>
      <c r="E79" s="302">
        <f>E77-E75</f>
        <v>4587</v>
      </c>
      <c r="G79" s="302">
        <f>G77-G75</f>
        <v>-92623</v>
      </c>
      <c r="I79" s="302">
        <f>I77-I75</f>
        <v>-82273</v>
      </c>
      <c r="K79" s="302">
        <f>K77-K75</f>
        <v>-72463</v>
      </c>
      <c r="M79" s="302">
        <f>M77-M75</f>
        <v>-73423</v>
      </c>
      <c r="O79" s="302">
        <f>O77-O75</f>
        <v>-66883</v>
      </c>
      <c r="Q79" s="302">
        <f>Q77-Q75</f>
        <v>-75023</v>
      </c>
      <c r="S79" s="302">
        <f>S77-S75</f>
        <v>-90063</v>
      </c>
      <c r="U79" s="302">
        <f>U77-U75</f>
        <v>-81433</v>
      </c>
    </row>
  </sheetData>
  <mergeCells count="74">
    <mergeCell ref="B33:U33"/>
    <mergeCell ref="D34:E34"/>
    <mergeCell ref="F34:G34"/>
    <mergeCell ref="H34:I34"/>
    <mergeCell ref="J34:K34"/>
    <mergeCell ref="L34:M34"/>
    <mergeCell ref="N34:O34"/>
    <mergeCell ref="R49:S49"/>
    <mergeCell ref="T49:U49"/>
    <mergeCell ref="T34:U34"/>
    <mergeCell ref="B48:U48"/>
    <mergeCell ref="D49:I49"/>
    <mergeCell ref="J49:K49"/>
    <mergeCell ref="L49:M49"/>
    <mergeCell ref="N49:O49"/>
    <mergeCell ref="P49:Q49"/>
    <mergeCell ref="R50:S50"/>
    <mergeCell ref="T50:U50"/>
    <mergeCell ref="D50:E50"/>
    <mergeCell ref="F50:G50"/>
    <mergeCell ref="H50:I50"/>
    <mergeCell ref="J50:K50"/>
    <mergeCell ref="L50:M50"/>
    <mergeCell ref="N50:O50"/>
    <mergeCell ref="P50:Q50"/>
    <mergeCell ref="B65:I65"/>
    <mergeCell ref="J66:K66"/>
    <mergeCell ref="L66:M66"/>
    <mergeCell ref="N66:O66"/>
    <mergeCell ref="P66:Q66"/>
    <mergeCell ref="R66:S66"/>
    <mergeCell ref="T66:U66"/>
    <mergeCell ref="P67:Q67"/>
    <mergeCell ref="R67:S67"/>
    <mergeCell ref="T67:U67"/>
    <mergeCell ref="D66:I66"/>
    <mergeCell ref="D67:E67"/>
    <mergeCell ref="F67:G67"/>
    <mergeCell ref="H67:I67"/>
    <mergeCell ref="J67:K67"/>
    <mergeCell ref="L67:M67"/>
    <mergeCell ref="N67:O67"/>
    <mergeCell ref="P6:Q6"/>
    <mergeCell ref="R6:S6"/>
    <mergeCell ref="T6:U6"/>
    <mergeCell ref="B2:Q2"/>
    <mergeCell ref="B3:Q3"/>
    <mergeCell ref="B4:Q4"/>
    <mergeCell ref="D6:I6"/>
    <mergeCell ref="J6:K6"/>
    <mergeCell ref="L6:M6"/>
    <mergeCell ref="N6:O6"/>
    <mergeCell ref="R7:S7"/>
    <mergeCell ref="T7:U7"/>
    <mergeCell ref="D7:E7"/>
    <mergeCell ref="F7:G7"/>
    <mergeCell ref="H7:I7"/>
    <mergeCell ref="J7:K7"/>
    <mergeCell ref="L7:M7"/>
    <mergeCell ref="N7:O7"/>
    <mergeCell ref="P7:Q7"/>
    <mergeCell ref="N8:O8"/>
    <mergeCell ref="P8:Q8"/>
    <mergeCell ref="R8:S8"/>
    <mergeCell ref="T8:U8"/>
    <mergeCell ref="B8:B10"/>
    <mergeCell ref="C8:C10"/>
    <mergeCell ref="D8:E8"/>
    <mergeCell ref="F8:G8"/>
    <mergeCell ref="H8:I8"/>
    <mergeCell ref="J8:K8"/>
    <mergeCell ref="L8:M8"/>
    <mergeCell ref="P34:Q34"/>
    <mergeCell ref="R34:S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4.43" defaultRowHeight="15.75" outlineLevelRow="1"/>
  <cols>
    <col customWidth="1" min="1" max="1" width="3.86"/>
    <col customWidth="1" min="2" max="2" width="4.86"/>
    <col customWidth="1" min="3" max="3" width="52.71"/>
    <col customWidth="1" min="12" max="12" width="3.57"/>
  </cols>
  <sheetData>
    <row r="1" ht="9.75" customHeight="1"/>
    <row r="2">
      <c r="B2" s="54"/>
      <c r="C2" s="54"/>
      <c r="D2" s="54"/>
      <c r="E2" s="54"/>
      <c r="F2" s="54"/>
      <c r="G2" s="54"/>
      <c r="H2" s="54"/>
      <c r="I2" s="54"/>
      <c r="J2" s="54"/>
      <c r="K2" s="54"/>
    </row>
    <row r="3">
      <c r="B3" s="54"/>
      <c r="C3" s="54"/>
      <c r="D3" s="54"/>
      <c r="E3" s="54"/>
      <c r="F3" s="54"/>
      <c r="G3" s="54"/>
      <c r="H3" s="54"/>
      <c r="I3" s="54"/>
      <c r="J3" s="54"/>
      <c r="K3" s="54"/>
    </row>
    <row r="4">
      <c r="B4" s="54"/>
      <c r="C4" s="54"/>
      <c r="D4" s="54"/>
      <c r="E4" s="54"/>
      <c r="F4" s="54"/>
      <c r="G4" s="54"/>
      <c r="H4" s="54"/>
      <c r="I4" s="54"/>
      <c r="J4" s="54"/>
      <c r="K4" s="54"/>
    </row>
    <row r="5">
      <c r="B5" s="54"/>
      <c r="C5" s="54"/>
      <c r="D5" s="54"/>
      <c r="E5" s="54"/>
      <c r="F5" s="54"/>
      <c r="G5" s="54"/>
      <c r="H5" s="54"/>
      <c r="I5" s="54"/>
      <c r="J5" s="54"/>
      <c r="K5" s="54"/>
    </row>
    <row r="6">
      <c r="B6" s="54"/>
      <c r="C6" s="54"/>
      <c r="D6" s="54"/>
      <c r="E6" s="54"/>
      <c r="F6" s="54"/>
      <c r="G6" s="54"/>
      <c r="H6" s="54"/>
      <c r="I6" s="54"/>
      <c r="J6" s="54"/>
      <c r="K6" s="54"/>
    </row>
    <row r="7">
      <c r="B7" s="54"/>
      <c r="C7" s="54"/>
      <c r="D7" s="54"/>
      <c r="E7" s="54"/>
      <c r="F7" s="54"/>
      <c r="G7" s="54"/>
      <c r="H7" s="54"/>
      <c r="I7" s="54"/>
      <c r="J7" s="54"/>
      <c r="K7" s="54"/>
    </row>
    <row r="8">
      <c r="B8" s="54"/>
      <c r="C8" s="54"/>
      <c r="D8" s="54"/>
      <c r="E8" s="54"/>
      <c r="F8" s="54"/>
      <c r="G8" s="54"/>
      <c r="H8" s="54"/>
      <c r="I8" s="54"/>
      <c r="J8" s="54"/>
      <c r="K8" s="54"/>
    </row>
    <row r="9">
      <c r="B9" s="54" t="s">
        <v>204</v>
      </c>
    </row>
    <row r="10">
      <c r="B10" s="242" t="s">
        <v>205</v>
      </c>
    </row>
    <row r="12">
      <c r="D12" s="309" t="s">
        <v>206</v>
      </c>
      <c r="E12" s="244"/>
      <c r="F12" s="244"/>
      <c r="G12" s="244"/>
      <c r="H12" s="244"/>
      <c r="I12" s="245"/>
      <c r="J12" s="310" t="s">
        <v>207</v>
      </c>
      <c r="K12" s="245"/>
    </row>
    <row r="13">
      <c r="D13" s="248" t="s">
        <v>208</v>
      </c>
      <c r="E13" s="249"/>
      <c r="F13" s="250" t="s">
        <v>209</v>
      </c>
      <c r="G13" s="249"/>
      <c r="H13" s="251" t="s">
        <v>210</v>
      </c>
      <c r="I13" s="249"/>
      <c r="J13" s="252" t="s">
        <v>211</v>
      </c>
      <c r="K13" s="249"/>
    </row>
    <row r="14">
      <c r="B14" s="253"/>
      <c r="C14" s="254" t="s">
        <v>166</v>
      </c>
      <c r="D14" s="255" t="s">
        <v>167</v>
      </c>
      <c r="E14" s="57"/>
      <c r="F14" s="255" t="s">
        <v>167</v>
      </c>
      <c r="G14" s="57"/>
      <c r="H14" s="255" t="s">
        <v>167</v>
      </c>
      <c r="I14" s="57"/>
      <c r="J14" s="255" t="s">
        <v>167</v>
      </c>
      <c r="K14" s="57"/>
    </row>
    <row r="15">
      <c r="B15" s="256"/>
      <c r="C15" s="257"/>
      <c r="D15" s="258" t="s">
        <v>168</v>
      </c>
      <c r="E15" s="259"/>
      <c r="F15" s="260" t="s">
        <v>168</v>
      </c>
      <c r="G15" s="259" t="str">
        <f>E15</f>
        <v/>
      </c>
      <c r="H15" s="260" t="s">
        <v>168</v>
      </c>
      <c r="I15" s="259" t="str">
        <f>G15</f>
        <v/>
      </c>
      <c r="J15" s="258" t="s">
        <v>168</v>
      </c>
      <c r="K15" s="259">
        <v>32.0</v>
      </c>
    </row>
    <row r="16">
      <c r="B16" s="261"/>
      <c r="C16" s="88"/>
      <c r="D16" s="262" t="s">
        <v>169</v>
      </c>
      <c r="E16" s="263" t="s">
        <v>170</v>
      </c>
      <c r="F16" s="262" t="s">
        <v>169</v>
      </c>
      <c r="G16" s="263" t="s">
        <v>170</v>
      </c>
      <c r="H16" s="262" t="s">
        <v>169</v>
      </c>
      <c r="I16" s="263" t="s">
        <v>170</v>
      </c>
      <c r="J16" s="262" t="s">
        <v>169</v>
      </c>
      <c r="K16" s="263" t="s">
        <v>170</v>
      </c>
    </row>
    <row r="17">
      <c r="B17" s="264"/>
      <c r="C17" s="289" t="s">
        <v>171</v>
      </c>
      <c r="D17" s="311" t="s">
        <v>212</v>
      </c>
      <c r="E17" s="312" t="s">
        <v>212</v>
      </c>
      <c r="F17" s="311" t="s">
        <v>212</v>
      </c>
      <c r="G17" s="312" t="s">
        <v>212</v>
      </c>
      <c r="H17" s="311" t="s">
        <v>212</v>
      </c>
      <c r="I17" s="312" t="s">
        <v>212</v>
      </c>
      <c r="J17" s="311" t="s">
        <v>212</v>
      </c>
      <c r="K17" s="312" t="s">
        <v>212</v>
      </c>
    </row>
    <row r="18">
      <c r="B18" s="268">
        <v>1.0</v>
      </c>
      <c r="C18" s="269" t="s">
        <v>172</v>
      </c>
      <c r="D18" s="311" t="s">
        <v>212</v>
      </c>
      <c r="E18" s="313" t="s">
        <v>212</v>
      </c>
      <c r="F18" s="311" t="s">
        <v>212</v>
      </c>
      <c r="G18" s="313" t="s">
        <v>212</v>
      </c>
      <c r="H18" s="311" t="s">
        <v>212</v>
      </c>
      <c r="I18" s="313" t="s">
        <v>212</v>
      </c>
      <c r="J18" s="311" t="s">
        <v>212</v>
      </c>
      <c r="K18" s="313" t="s">
        <v>212</v>
      </c>
    </row>
    <row r="19">
      <c r="B19" s="268">
        <v>2.0</v>
      </c>
      <c r="C19" s="269" t="s">
        <v>173</v>
      </c>
      <c r="D19" s="311" t="s">
        <v>212</v>
      </c>
      <c r="E19" s="312" t="s">
        <v>212</v>
      </c>
      <c r="F19" s="311" t="s">
        <v>212</v>
      </c>
      <c r="G19" s="312" t="s">
        <v>212</v>
      </c>
      <c r="H19" s="311" t="s">
        <v>212</v>
      </c>
      <c r="I19" s="312" t="s">
        <v>212</v>
      </c>
      <c r="J19" s="311" t="s">
        <v>212</v>
      </c>
      <c r="K19" s="312" t="s">
        <v>212</v>
      </c>
    </row>
    <row r="20">
      <c r="B20" s="268">
        <v>3.0</v>
      </c>
      <c r="C20" s="269" t="s">
        <v>174</v>
      </c>
      <c r="D20" s="311" t="s">
        <v>212</v>
      </c>
      <c r="E20" s="313" t="s">
        <v>212</v>
      </c>
      <c r="F20" s="311" t="s">
        <v>212</v>
      </c>
      <c r="G20" s="313" t="s">
        <v>212</v>
      </c>
      <c r="H20" s="311" t="s">
        <v>212</v>
      </c>
      <c r="I20" s="313" t="s">
        <v>212</v>
      </c>
      <c r="J20" s="311" t="s">
        <v>212</v>
      </c>
      <c r="K20" s="313" t="s">
        <v>212</v>
      </c>
    </row>
    <row r="21">
      <c r="B21" s="268">
        <v>4.0</v>
      </c>
      <c r="C21" s="269" t="s">
        <v>175</v>
      </c>
      <c r="D21" s="311" t="s">
        <v>212</v>
      </c>
      <c r="E21" s="313" t="s">
        <v>212</v>
      </c>
      <c r="F21" s="311" t="s">
        <v>212</v>
      </c>
      <c r="G21" s="313" t="s">
        <v>212</v>
      </c>
      <c r="H21" s="311" t="s">
        <v>212</v>
      </c>
      <c r="I21" s="313" t="s">
        <v>212</v>
      </c>
      <c r="J21" s="311" t="s">
        <v>212</v>
      </c>
      <c r="K21" s="313" t="s">
        <v>212</v>
      </c>
    </row>
    <row r="22">
      <c r="B22" s="268">
        <v>5.0</v>
      </c>
      <c r="C22" s="274" t="s">
        <v>213</v>
      </c>
      <c r="D22" s="270"/>
      <c r="E22" s="275"/>
      <c r="F22" s="270"/>
      <c r="G22" s="275"/>
      <c r="H22" s="270"/>
      <c r="I22" s="275"/>
      <c r="J22" s="311" t="s">
        <v>212</v>
      </c>
      <c r="K22" s="313" t="s">
        <v>212</v>
      </c>
    </row>
    <row r="23">
      <c r="B23" s="268">
        <v>6.0</v>
      </c>
      <c r="C23" s="274" t="s">
        <v>214</v>
      </c>
      <c r="D23" s="270"/>
      <c r="E23" s="275"/>
      <c r="F23" s="270"/>
      <c r="G23" s="275"/>
      <c r="H23" s="270"/>
      <c r="I23" s="275"/>
      <c r="J23" s="311" t="s">
        <v>212</v>
      </c>
      <c r="K23" s="313" t="s">
        <v>212</v>
      </c>
    </row>
    <row r="24">
      <c r="B24" s="268"/>
      <c r="C24" s="274"/>
      <c r="D24" s="270"/>
      <c r="E24" s="275"/>
      <c r="F24" s="270"/>
      <c r="G24" s="275"/>
      <c r="H24" s="270"/>
      <c r="I24" s="275"/>
      <c r="J24" s="270"/>
      <c r="K24" s="275"/>
    </row>
    <row r="25">
      <c r="B25" s="268"/>
      <c r="C25" s="289" t="s">
        <v>203</v>
      </c>
      <c r="D25" s="270"/>
      <c r="E25" s="267">
        <f>SUM(E26:E42)</f>
        <v>12923</v>
      </c>
      <c r="F25" s="270"/>
      <c r="G25" s="267">
        <f>SUM(G26:G42)</f>
        <v>12923</v>
      </c>
      <c r="H25" s="270"/>
      <c r="I25" s="267">
        <f>SUM(I26:I42)</f>
        <v>12923</v>
      </c>
      <c r="J25" s="270"/>
      <c r="K25" s="267">
        <f>SUM(K26:K42)</f>
        <v>8133</v>
      </c>
    </row>
    <row r="26">
      <c r="B26" s="268">
        <v>5.0</v>
      </c>
      <c r="C26" s="274" t="s">
        <v>177</v>
      </c>
      <c r="D26" s="270"/>
      <c r="E26" s="314">
        <v>0.0</v>
      </c>
      <c r="F26" s="270"/>
      <c r="G26" s="314">
        <v>0.0</v>
      </c>
      <c r="H26" s="270"/>
      <c r="I26" s="314">
        <v>0.0</v>
      </c>
      <c r="J26" s="270"/>
      <c r="K26" s="314">
        <v>0.0</v>
      </c>
    </row>
    <row r="27">
      <c r="B27" s="268">
        <v>6.0</v>
      </c>
      <c r="C27" s="274" t="s">
        <v>178</v>
      </c>
      <c r="D27" s="270"/>
      <c r="E27" s="277">
        <v>1600.0</v>
      </c>
      <c r="F27" s="270"/>
      <c r="G27" s="277">
        <v>1600.0</v>
      </c>
      <c r="H27" s="270"/>
      <c r="I27" s="277">
        <v>1600.0</v>
      </c>
      <c r="J27" s="270"/>
      <c r="K27" s="277">
        <v>500.0</v>
      </c>
    </row>
    <row r="28">
      <c r="B28" s="268">
        <v>7.0</v>
      </c>
      <c r="C28" s="274" t="s">
        <v>179</v>
      </c>
      <c r="D28" s="270"/>
      <c r="E28" s="277">
        <v>30.0</v>
      </c>
      <c r="F28" s="270"/>
      <c r="G28" s="277">
        <v>30.0</v>
      </c>
      <c r="H28" s="270"/>
      <c r="I28" s="277">
        <v>30.0</v>
      </c>
      <c r="J28" s="270"/>
      <c r="K28" s="277"/>
    </row>
    <row r="29">
      <c r="B29" s="268">
        <v>8.0</v>
      </c>
      <c r="C29" s="274" t="s">
        <v>180</v>
      </c>
      <c r="D29" s="270"/>
      <c r="E29" s="277">
        <v>1000.0</v>
      </c>
      <c r="F29" s="270"/>
      <c r="G29" s="277">
        <v>1000.0</v>
      </c>
      <c r="H29" s="270"/>
      <c r="I29" s="277">
        <v>1000.0</v>
      </c>
      <c r="J29" s="270"/>
      <c r="K29" s="277"/>
    </row>
    <row r="30">
      <c r="B30" s="268">
        <v>9.0</v>
      </c>
      <c r="C30" s="274" t="s">
        <v>215</v>
      </c>
      <c r="D30" s="270"/>
      <c r="E30" s="277"/>
      <c r="F30" s="270"/>
      <c r="G30" s="277"/>
      <c r="H30" s="270"/>
      <c r="I30" s="277"/>
      <c r="J30" s="270"/>
      <c r="K30" s="277">
        <v>500.0</v>
      </c>
    </row>
    <row r="31">
      <c r="B31" s="268">
        <v>10.0</v>
      </c>
      <c r="C31" s="274" t="s">
        <v>181</v>
      </c>
      <c r="D31" s="270"/>
      <c r="E31" s="277">
        <v>260.0</v>
      </c>
      <c r="F31" s="270"/>
      <c r="G31" s="277">
        <v>260.0</v>
      </c>
      <c r="H31" s="270"/>
      <c r="I31" s="277">
        <v>260.0</v>
      </c>
      <c r="J31" s="270"/>
      <c r="K31" s="277"/>
    </row>
    <row r="32">
      <c r="B32" s="268">
        <v>11.0</v>
      </c>
      <c r="C32" s="274" t="s">
        <v>182</v>
      </c>
      <c r="D32" s="270"/>
      <c r="E32" s="275"/>
      <c r="F32" s="270"/>
      <c r="G32" s="275"/>
      <c r="H32" s="270"/>
      <c r="I32" s="275"/>
      <c r="J32" s="270"/>
      <c r="K32" s="275"/>
    </row>
    <row r="33">
      <c r="B33" s="268">
        <v>12.0</v>
      </c>
      <c r="C33" s="274" t="s">
        <v>183</v>
      </c>
      <c r="D33" s="270"/>
      <c r="E33" s="275"/>
      <c r="F33" s="270"/>
      <c r="G33" s="275"/>
      <c r="H33" s="270"/>
      <c r="I33" s="275"/>
      <c r="J33" s="270"/>
      <c r="K33" s="275"/>
    </row>
    <row r="34">
      <c r="B34" s="268">
        <v>13.0</v>
      </c>
      <c r="C34" s="274" t="s">
        <v>184</v>
      </c>
      <c r="D34" s="270"/>
      <c r="E34" s="277">
        <v>700.0</v>
      </c>
      <c r="F34" s="270"/>
      <c r="G34" s="277">
        <v>700.0</v>
      </c>
      <c r="H34" s="270"/>
      <c r="I34" s="277">
        <v>700.0</v>
      </c>
      <c r="J34" s="270"/>
      <c r="K34" s="277">
        <v>700.0</v>
      </c>
    </row>
    <row r="35">
      <c r="B35" s="268">
        <v>14.0</v>
      </c>
      <c r="C35" s="274" t="s">
        <v>185</v>
      </c>
      <c r="D35" s="270"/>
      <c r="E35" s="277">
        <v>500.0</v>
      </c>
      <c r="F35" s="270"/>
      <c r="G35" s="277">
        <v>500.0</v>
      </c>
      <c r="H35" s="270"/>
      <c r="I35" s="277">
        <v>500.0</v>
      </c>
      <c r="J35" s="270"/>
      <c r="K35" s="277">
        <v>500.0</v>
      </c>
    </row>
    <row r="36">
      <c r="B36" s="268">
        <v>15.0</v>
      </c>
      <c r="C36" s="274" t="s">
        <v>186</v>
      </c>
      <c r="D36" s="270"/>
      <c r="E36" s="277">
        <v>1500.0</v>
      </c>
      <c r="F36" s="270"/>
      <c r="G36" s="277">
        <v>1500.0</v>
      </c>
      <c r="H36" s="270"/>
      <c r="I36" s="277">
        <v>1500.0</v>
      </c>
      <c r="J36" s="270"/>
      <c r="K36" s="277"/>
    </row>
    <row r="37">
      <c r="B37" s="268">
        <v>16.0</v>
      </c>
      <c r="C37" s="274" t="s">
        <v>187</v>
      </c>
      <c r="D37" s="270"/>
      <c r="E37" s="277">
        <v>2600.0</v>
      </c>
      <c r="F37" s="270"/>
      <c r="G37" s="277">
        <v>2600.0</v>
      </c>
      <c r="H37" s="270"/>
      <c r="I37" s="277">
        <v>2600.0</v>
      </c>
      <c r="J37" s="270"/>
      <c r="K37" s="277"/>
    </row>
    <row r="38">
      <c r="B38" s="268">
        <v>20.0</v>
      </c>
      <c r="C38" s="274" t="s">
        <v>216</v>
      </c>
      <c r="D38" s="270"/>
      <c r="E38" s="315"/>
      <c r="F38" s="270"/>
      <c r="G38" s="315"/>
      <c r="H38" s="270"/>
      <c r="I38" s="315"/>
      <c r="J38" s="270"/>
      <c r="K38" s="316">
        <v>1200.0</v>
      </c>
    </row>
    <row r="39">
      <c r="B39" s="268">
        <v>17.0</v>
      </c>
      <c r="C39" s="274" t="s">
        <v>188</v>
      </c>
      <c r="D39" s="270"/>
      <c r="E39" s="277">
        <v>130.0</v>
      </c>
      <c r="F39" s="270"/>
      <c r="G39" s="277">
        <v>130.0</v>
      </c>
      <c r="H39" s="270"/>
      <c r="I39" s="277">
        <v>130.0</v>
      </c>
      <c r="J39" s="270"/>
      <c r="K39" s="277">
        <v>130.0</v>
      </c>
    </row>
    <row r="40">
      <c r="B40" s="268">
        <v>18.0</v>
      </c>
      <c r="C40" s="274" t="s">
        <v>189</v>
      </c>
      <c r="D40" s="270"/>
      <c r="E40" s="277">
        <v>800.0</v>
      </c>
      <c r="F40" s="270"/>
      <c r="G40" s="277">
        <v>800.0</v>
      </c>
      <c r="H40" s="270"/>
      <c r="I40" s="277">
        <v>800.0</v>
      </c>
      <c r="J40" s="270"/>
      <c r="K40" s="277">
        <v>800.0</v>
      </c>
    </row>
    <row r="41">
      <c r="B41" s="268">
        <v>19.0</v>
      </c>
      <c r="C41" s="274" t="s">
        <v>190</v>
      </c>
      <c r="D41" s="270"/>
      <c r="E41" s="277">
        <v>803.0</v>
      </c>
      <c r="F41" s="270"/>
      <c r="G41" s="277">
        <v>803.0</v>
      </c>
      <c r="H41" s="270"/>
      <c r="I41" s="277">
        <v>803.0</v>
      </c>
      <c r="J41" s="270"/>
      <c r="K41" s="277">
        <v>803.0</v>
      </c>
    </row>
    <row r="42">
      <c r="B42" s="268">
        <v>21.0</v>
      </c>
      <c r="C42" s="274" t="s">
        <v>217</v>
      </c>
      <c r="D42" s="270"/>
      <c r="E42" s="315">
        <v>3000.0</v>
      </c>
      <c r="F42" s="270"/>
      <c r="G42" s="315">
        <v>3000.0</v>
      </c>
      <c r="H42" s="270"/>
      <c r="I42" s="315">
        <v>3000.0</v>
      </c>
      <c r="J42" s="270"/>
      <c r="K42" s="315">
        <v>3000.0</v>
      </c>
    </row>
    <row r="43">
      <c r="B43" s="268"/>
      <c r="C43" s="274"/>
      <c r="D43" s="270"/>
      <c r="E43" s="275"/>
      <c r="F43" s="270"/>
      <c r="G43" s="275"/>
      <c r="H43" s="270"/>
      <c r="I43" s="275"/>
      <c r="J43" s="270"/>
      <c r="K43" s="275"/>
    </row>
    <row r="44" outlineLevel="1">
      <c r="B44" s="268"/>
      <c r="C44" s="289" t="s">
        <v>218</v>
      </c>
      <c r="D44" s="290"/>
      <c r="E44" s="267" t="s">
        <v>219</v>
      </c>
      <c r="F44" s="290"/>
      <c r="G44" s="267" t="s">
        <v>219</v>
      </c>
      <c r="H44" s="290"/>
      <c r="I44" s="267" t="s">
        <v>219</v>
      </c>
      <c r="J44" s="290"/>
      <c r="K44" s="267">
        <v>11000.0</v>
      </c>
    </row>
    <row r="45" outlineLevel="1">
      <c r="B45" s="268"/>
      <c r="C45" s="274"/>
      <c r="D45" s="290"/>
      <c r="E45" s="277"/>
      <c r="F45" s="290"/>
      <c r="G45" s="277"/>
      <c r="H45" s="290"/>
      <c r="I45" s="277"/>
      <c r="J45" s="290"/>
      <c r="K45" s="277"/>
    </row>
    <row r="46">
      <c r="B46" s="268"/>
      <c r="C46" s="274"/>
      <c r="D46" s="270"/>
      <c r="E46" s="275"/>
      <c r="F46" s="270"/>
      <c r="G46" s="275"/>
      <c r="H46" s="270"/>
      <c r="I46" s="275"/>
      <c r="J46" s="270"/>
      <c r="K46" s="275"/>
    </row>
    <row r="47">
      <c r="B47" s="279"/>
      <c r="C47" s="280" t="s">
        <v>191</v>
      </c>
      <c r="D47" s="281"/>
      <c r="E47" s="282">
        <f>E25</f>
        <v>12923</v>
      </c>
      <c r="F47" s="281"/>
      <c r="G47" s="282">
        <f>G25</f>
        <v>12923</v>
      </c>
      <c r="H47" s="281"/>
      <c r="I47" s="282">
        <f>I25</f>
        <v>12923</v>
      </c>
      <c r="J47" s="281"/>
      <c r="K47" s="282">
        <f>K25+K44</f>
        <v>19133</v>
      </c>
    </row>
    <row r="48" ht="8.25" customHeight="1">
      <c r="B48" s="283"/>
      <c r="C48" s="284"/>
      <c r="D48" s="285"/>
      <c r="E48" s="286"/>
      <c r="F48" s="285"/>
      <c r="G48" s="286"/>
      <c r="H48" s="285"/>
      <c r="I48" s="286"/>
      <c r="J48" s="285"/>
      <c r="K48" s="286"/>
    </row>
    <row r="49" outlineLevel="1">
      <c r="C49" s="1" t="s">
        <v>220</v>
      </c>
    </row>
    <row r="50" outlineLevel="1">
      <c r="C50" s="1" t="s">
        <v>221</v>
      </c>
    </row>
    <row r="51" outlineLevel="1">
      <c r="C51" s="1" t="s">
        <v>222</v>
      </c>
    </row>
  </sheetData>
  <mergeCells count="14">
    <mergeCell ref="D13:E13"/>
    <mergeCell ref="B14:B16"/>
    <mergeCell ref="C14:C16"/>
    <mergeCell ref="D14:E14"/>
    <mergeCell ref="F14:G14"/>
    <mergeCell ref="H14:I14"/>
    <mergeCell ref="J14:K14"/>
    <mergeCell ref="B9:K9"/>
    <mergeCell ref="B10:K10"/>
    <mergeCell ref="D12:I12"/>
    <mergeCell ref="J12:K12"/>
    <mergeCell ref="F13:G13"/>
    <mergeCell ref="H13:I13"/>
    <mergeCell ref="J13:K13"/>
  </mergeCells>
  <printOptions gridLines="1" horizontalCentered="1"/>
  <pageMargins bottom="0.0" footer="0.0" header="0.0" left="0.0" right="0.0" top="0.0"/>
  <pageSetup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6" width="20.14"/>
    <col customWidth="1" min="7" max="7" width="14.43"/>
    <col customWidth="1" min="8" max="8" width="22.57"/>
    <col customWidth="1" min="9" max="9" width="2.14"/>
  </cols>
  <sheetData>
    <row r="1">
      <c r="B1" s="317"/>
      <c r="C1" s="317"/>
      <c r="D1" s="317"/>
      <c r="E1" s="317"/>
      <c r="F1" s="317"/>
      <c r="G1" s="317"/>
      <c r="H1" s="317"/>
      <c r="I1" s="317"/>
    </row>
    <row r="2">
      <c r="B2" s="317"/>
      <c r="C2" s="317"/>
      <c r="D2" s="317"/>
      <c r="E2" s="317"/>
      <c r="F2" s="317"/>
      <c r="G2" s="317"/>
      <c r="H2" s="317"/>
      <c r="I2" s="317"/>
    </row>
    <row r="3">
      <c r="B3" s="317"/>
      <c r="C3" s="317"/>
      <c r="D3" s="317"/>
      <c r="E3" s="317"/>
      <c r="F3" s="317"/>
      <c r="G3" s="317"/>
      <c r="H3" s="317"/>
      <c r="I3" s="317"/>
    </row>
    <row r="4">
      <c r="B4" s="317"/>
      <c r="C4" s="317"/>
      <c r="D4" s="317"/>
      <c r="E4" s="317"/>
      <c r="F4" s="317"/>
      <c r="G4" s="317"/>
      <c r="H4" s="317"/>
      <c r="I4" s="317"/>
    </row>
    <row r="5">
      <c r="B5" s="318"/>
      <c r="C5" s="318"/>
      <c r="D5" s="318"/>
      <c r="E5" s="318"/>
      <c r="F5" s="318"/>
      <c r="G5" s="318"/>
      <c r="H5" s="318"/>
      <c r="I5" s="317"/>
    </row>
    <row r="6">
      <c r="A6" s="54" t="s">
        <v>223</v>
      </c>
      <c r="I6" s="317"/>
    </row>
    <row r="7">
      <c r="A7" s="318" t="s">
        <v>224</v>
      </c>
      <c r="I7" s="319"/>
    </row>
    <row r="8">
      <c r="A8" s="318" t="s">
        <v>225</v>
      </c>
      <c r="I8" s="319"/>
    </row>
    <row r="9">
      <c r="B9" s="320"/>
      <c r="C9" s="321"/>
      <c r="D9" s="322"/>
      <c r="E9" s="322"/>
      <c r="F9" s="322"/>
      <c r="G9" s="322"/>
      <c r="H9" s="322"/>
      <c r="I9" s="322"/>
    </row>
    <row r="10">
      <c r="B10" s="320"/>
      <c r="C10" s="321"/>
      <c r="D10" s="322"/>
      <c r="E10" s="322"/>
      <c r="F10" s="322"/>
      <c r="G10" s="322"/>
      <c r="H10" s="322"/>
      <c r="I10" s="322"/>
    </row>
    <row r="11">
      <c r="C11" s="323"/>
      <c r="D11" s="324" t="s">
        <v>226</v>
      </c>
      <c r="E11" s="319"/>
      <c r="F11" s="319"/>
      <c r="H11" s="322"/>
      <c r="I11" s="322"/>
    </row>
    <row r="12">
      <c r="B12" s="320"/>
      <c r="C12" s="320" t="s">
        <v>227</v>
      </c>
      <c r="D12" s="325" t="s">
        <v>228</v>
      </c>
      <c r="E12" s="326"/>
      <c r="F12" s="326"/>
      <c r="G12" s="322"/>
      <c r="H12" s="322"/>
      <c r="I12" s="322"/>
    </row>
    <row r="13">
      <c r="B13" s="320"/>
      <c r="C13" s="320" t="s">
        <v>229</v>
      </c>
      <c r="D13" s="325" t="s">
        <v>230</v>
      </c>
      <c r="E13" s="326"/>
      <c r="F13" s="326"/>
      <c r="G13" s="322"/>
      <c r="H13" s="322"/>
      <c r="I13" s="322"/>
    </row>
    <row r="14">
      <c r="B14" s="320" t="s">
        <v>231</v>
      </c>
      <c r="C14" s="320"/>
      <c r="D14" s="326"/>
      <c r="E14" s="326"/>
      <c r="F14" s="326"/>
      <c r="G14" s="322"/>
      <c r="H14" s="322"/>
      <c r="I14" s="322"/>
    </row>
    <row r="15">
      <c r="B15" s="1" t="s">
        <v>232</v>
      </c>
      <c r="D15" s="327">
        <v>40000.0</v>
      </c>
      <c r="E15" s="328" t="s">
        <v>233</v>
      </c>
      <c r="F15" s="327"/>
      <c r="H15" s="322"/>
      <c r="I15" s="322"/>
    </row>
    <row r="16">
      <c r="B16" s="329"/>
      <c r="D16" s="330"/>
      <c r="E16" s="322"/>
      <c r="H16" s="322"/>
      <c r="I16" s="322"/>
    </row>
    <row r="17">
      <c r="B17" s="1" t="s">
        <v>234</v>
      </c>
      <c r="D17" s="327">
        <v>14000.0</v>
      </c>
      <c r="E17" s="328" t="s">
        <v>233</v>
      </c>
      <c r="F17" s="327"/>
      <c r="H17" s="322"/>
      <c r="I17" s="322"/>
    </row>
    <row r="18">
      <c r="B18" s="329"/>
      <c r="D18" s="330"/>
      <c r="E18" s="322"/>
      <c r="F18" s="330"/>
      <c r="H18" s="322"/>
      <c r="I18" s="322"/>
    </row>
    <row r="19">
      <c r="B19" s="1" t="s">
        <v>235</v>
      </c>
      <c r="D19" s="327">
        <v>18000.0</v>
      </c>
      <c r="E19" s="328" t="s">
        <v>233</v>
      </c>
      <c r="F19" s="330"/>
      <c r="H19" s="322"/>
      <c r="I19" s="322"/>
    </row>
    <row r="20">
      <c r="B20" s="329"/>
      <c r="D20" s="331"/>
      <c r="E20" s="322"/>
      <c r="H20" s="322"/>
      <c r="I20" s="322"/>
    </row>
    <row r="21">
      <c r="C21" s="332" t="s">
        <v>236</v>
      </c>
      <c r="D21" s="333">
        <f>SUM(D15:D20)</f>
        <v>72000</v>
      </c>
      <c r="E21" s="328" t="s">
        <v>233</v>
      </c>
      <c r="F21" s="333"/>
      <c r="H21" s="322"/>
      <c r="I21" s="322"/>
    </row>
    <row r="22" ht="10.5" customHeight="1">
      <c r="D22" s="322"/>
      <c r="E22" s="322"/>
      <c r="F22" s="322"/>
      <c r="G22" s="322"/>
      <c r="H22" s="322"/>
      <c r="I22" s="322"/>
    </row>
    <row r="23">
      <c r="B23" s="1"/>
      <c r="D23" s="322"/>
      <c r="E23" s="43"/>
      <c r="F23" s="45"/>
      <c r="G23" s="322"/>
      <c r="H23" s="322"/>
      <c r="I23" s="328"/>
    </row>
    <row r="24">
      <c r="A24" s="334"/>
      <c r="B24" s="335" t="s">
        <v>237</v>
      </c>
      <c r="C24" s="336"/>
      <c r="D24" s="337"/>
      <c r="E24" s="338" t="s">
        <v>238</v>
      </c>
      <c r="F24" s="339" t="s">
        <v>239</v>
      </c>
      <c r="G24" s="322"/>
      <c r="H24" s="322"/>
      <c r="I24" s="340"/>
    </row>
    <row r="25">
      <c r="B25" s="341" t="s">
        <v>240</v>
      </c>
      <c r="C25" s="342"/>
      <c r="D25" s="343"/>
      <c r="E25" s="344"/>
      <c r="F25" s="344"/>
      <c r="G25" s="322"/>
      <c r="H25" s="322"/>
      <c r="I25" s="322"/>
    </row>
    <row r="26">
      <c r="B26" s="345" t="s">
        <v>241</v>
      </c>
      <c r="C26" s="346"/>
      <c r="D26" s="347"/>
      <c r="E26" s="348" t="s">
        <v>242</v>
      </c>
      <c r="F26" s="349" t="s">
        <v>243</v>
      </c>
      <c r="G26" s="322"/>
      <c r="H26" s="322"/>
      <c r="I26" s="322"/>
    </row>
    <row r="27">
      <c r="B27" s="350"/>
      <c r="C27" s="346"/>
      <c r="D27" s="347"/>
      <c r="E27" s="351"/>
      <c r="F27" s="349"/>
      <c r="G27" s="322"/>
      <c r="H27" s="322"/>
      <c r="I27" s="322"/>
    </row>
    <row r="28">
      <c r="B28" s="345"/>
      <c r="C28" s="346"/>
      <c r="D28" s="347"/>
      <c r="E28" s="348"/>
      <c r="F28" s="349"/>
      <c r="G28" s="322"/>
      <c r="H28" s="322"/>
      <c r="I28" s="322"/>
    </row>
    <row r="29">
      <c r="B29" s="345" t="s">
        <v>244</v>
      </c>
      <c r="C29" s="346"/>
      <c r="D29" s="347"/>
      <c r="E29" s="348" t="s">
        <v>245</v>
      </c>
      <c r="F29" s="349" t="s">
        <v>243</v>
      </c>
      <c r="G29" s="322"/>
      <c r="H29" s="322"/>
      <c r="I29" s="322"/>
    </row>
    <row r="30">
      <c r="B30" s="350"/>
      <c r="C30" s="346"/>
      <c r="D30" s="347"/>
      <c r="E30" s="344"/>
      <c r="F30" s="349"/>
      <c r="G30" s="322"/>
      <c r="H30" s="322"/>
      <c r="I30" s="322"/>
    </row>
    <row r="31">
      <c r="B31" s="345"/>
      <c r="C31" s="346"/>
      <c r="D31" s="347"/>
      <c r="E31" s="352"/>
      <c r="F31" s="349"/>
      <c r="G31" s="322"/>
      <c r="H31" s="322"/>
      <c r="I31" s="322"/>
    </row>
    <row r="32">
      <c r="B32" s="345" t="s">
        <v>246</v>
      </c>
      <c r="C32" s="346"/>
      <c r="D32" s="347"/>
      <c r="E32" s="352" t="s">
        <v>247</v>
      </c>
      <c r="F32" s="349" t="s">
        <v>243</v>
      </c>
      <c r="G32" s="322"/>
      <c r="H32" s="322"/>
      <c r="I32" s="322"/>
    </row>
    <row r="33">
      <c r="B33" s="353"/>
      <c r="C33" s="346"/>
      <c r="D33" s="347"/>
      <c r="E33" s="344"/>
      <c r="F33" s="344"/>
      <c r="G33" s="322"/>
      <c r="H33" s="322"/>
      <c r="I33" s="322"/>
    </row>
    <row r="34">
      <c r="B34" s="354" t="s">
        <v>248</v>
      </c>
      <c r="C34" s="355"/>
      <c r="D34" s="356"/>
      <c r="E34" s="357"/>
      <c r="F34" s="357"/>
      <c r="G34" s="322"/>
      <c r="H34" s="322"/>
      <c r="I34" s="322"/>
    </row>
    <row r="35">
      <c r="B35" s="358" t="s">
        <v>249</v>
      </c>
      <c r="C35" s="359"/>
      <c r="D35" s="360"/>
      <c r="E35" s="361"/>
      <c r="F35" s="362"/>
      <c r="G35" s="322"/>
      <c r="H35" s="322"/>
      <c r="I35" s="322"/>
    </row>
    <row r="36">
      <c r="B36" s="363" t="s">
        <v>250</v>
      </c>
      <c r="C36" s="364"/>
      <c r="D36" s="365"/>
      <c r="E36" s="347"/>
      <c r="F36" s="362"/>
      <c r="G36" s="322"/>
      <c r="H36" s="322"/>
      <c r="I36" s="322"/>
    </row>
    <row r="37">
      <c r="B37" s="345" t="s">
        <v>241</v>
      </c>
      <c r="C37" s="346"/>
      <c r="D37" s="347"/>
      <c r="E37" s="366" t="s">
        <v>251</v>
      </c>
      <c r="F37" s="367" t="s">
        <v>252</v>
      </c>
      <c r="G37" s="322"/>
      <c r="H37" s="322"/>
      <c r="I37" s="322"/>
    </row>
    <row r="38">
      <c r="B38" s="350"/>
      <c r="C38" s="346"/>
      <c r="D38" s="347"/>
      <c r="F38" s="362"/>
      <c r="G38" s="322"/>
      <c r="H38" s="322"/>
      <c r="I38" s="322"/>
    </row>
    <row r="39">
      <c r="B39" s="345" t="s">
        <v>244</v>
      </c>
      <c r="C39" s="346"/>
      <c r="D39" s="347"/>
      <c r="F39" s="367" t="s">
        <v>252</v>
      </c>
      <c r="G39" s="322"/>
      <c r="H39" s="322"/>
      <c r="I39" s="322"/>
    </row>
    <row r="40">
      <c r="B40" s="350"/>
      <c r="C40" s="346"/>
      <c r="D40" s="347"/>
      <c r="E40" s="347"/>
      <c r="F40" s="367"/>
      <c r="G40" s="322"/>
      <c r="H40" s="322"/>
      <c r="I40" s="322"/>
    </row>
    <row r="41">
      <c r="B41" s="345"/>
      <c r="C41" s="346"/>
      <c r="D41" s="347"/>
      <c r="E41" s="347"/>
      <c r="F41" s="362"/>
      <c r="G41" s="322"/>
      <c r="H41" s="322"/>
      <c r="I41" s="322"/>
    </row>
    <row r="42">
      <c r="B42" s="345" t="s">
        <v>253</v>
      </c>
      <c r="C42" s="346"/>
      <c r="D42" s="347"/>
      <c r="E42" s="347"/>
      <c r="F42" s="367" t="s">
        <v>252</v>
      </c>
      <c r="G42" s="322"/>
      <c r="H42" s="322"/>
      <c r="I42" s="322"/>
    </row>
    <row r="43">
      <c r="B43" s="350"/>
      <c r="C43" s="346"/>
      <c r="D43" s="347"/>
      <c r="E43" s="347"/>
      <c r="F43" s="362"/>
      <c r="G43" s="322"/>
      <c r="H43" s="322"/>
      <c r="I43" s="322"/>
    </row>
    <row r="44">
      <c r="B44" s="368"/>
      <c r="C44" s="355"/>
      <c r="D44" s="356"/>
      <c r="E44" s="356"/>
      <c r="F44" s="369"/>
      <c r="G44" s="322"/>
      <c r="H44" s="322"/>
      <c r="I44" s="322"/>
    </row>
    <row r="45" ht="5.25" customHeight="1">
      <c r="D45" s="322"/>
      <c r="E45" s="322"/>
      <c r="F45" s="322"/>
      <c r="G45" s="322"/>
      <c r="H45" s="322"/>
      <c r="I45" s="322"/>
    </row>
    <row r="46">
      <c r="B46" s="370" t="s">
        <v>254</v>
      </c>
      <c r="D46" s="322"/>
      <c r="E46" s="322"/>
      <c r="F46" s="322"/>
      <c r="G46" s="322"/>
      <c r="H46" s="322"/>
      <c r="I46" s="322"/>
    </row>
    <row r="47">
      <c r="B47" s="370" t="s">
        <v>255</v>
      </c>
      <c r="D47" s="322"/>
      <c r="E47" s="322"/>
      <c r="F47" s="322"/>
      <c r="G47" s="322"/>
      <c r="H47" s="322"/>
      <c r="I47" s="322"/>
    </row>
    <row r="48">
      <c r="B48" s="371"/>
      <c r="D48" s="322"/>
      <c r="E48" s="322"/>
      <c r="F48" s="322"/>
      <c r="G48" s="322"/>
      <c r="H48" s="322"/>
      <c r="I48" s="322"/>
    </row>
    <row r="49">
      <c r="B49" s="370" t="s">
        <v>256</v>
      </c>
      <c r="D49" s="322"/>
      <c r="E49" s="322"/>
      <c r="F49" s="322"/>
      <c r="G49" s="322"/>
      <c r="H49" s="322"/>
      <c r="I49" s="322"/>
    </row>
    <row r="50">
      <c r="B50" s="371"/>
      <c r="D50" s="322"/>
      <c r="E50" s="322"/>
      <c r="F50" s="322"/>
      <c r="G50" s="322"/>
      <c r="H50" s="322"/>
      <c r="I50" s="322"/>
    </row>
    <row r="51">
      <c r="B51" s="370" t="s">
        <v>257</v>
      </c>
      <c r="D51" s="322"/>
      <c r="E51" s="322"/>
      <c r="F51" s="322"/>
      <c r="G51" s="322"/>
      <c r="H51" s="322"/>
      <c r="I51" s="322"/>
    </row>
    <row r="52">
      <c r="B52" s="370" t="s">
        <v>258</v>
      </c>
      <c r="D52" s="322"/>
      <c r="E52" s="322"/>
      <c r="F52" s="322"/>
      <c r="G52" s="322"/>
      <c r="H52" s="322"/>
      <c r="I52" s="322"/>
    </row>
    <row r="53">
      <c r="B53" s="370" t="s">
        <v>259</v>
      </c>
      <c r="D53" s="322"/>
      <c r="E53" s="322"/>
      <c r="F53" s="322"/>
      <c r="G53" s="322"/>
      <c r="H53" s="322"/>
      <c r="I53" s="322"/>
    </row>
    <row r="54">
      <c r="B54" s="371"/>
      <c r="D54" s="322"/>
      <c r="E54" s="322"/>
      <c r="F54" s="322"/>
      <c r="G54" s="322"/>
      <c r="H54" s="322"/>
      <c r="I54" s="322"/>
    </row>
    <row r="55">
      <c r="B55" s="370" t="s">
        <v>260</v>
      </c>
      <c r="D55" s="322"/>
      <c r="E55" s="322"/>
      <c r="F55" s="322"/>
      <c r="G55" s="322"/>
      <c r="H55" s="322"/>
      <c r="I55" s="322"/>
    </row>
    <row r="56">
      <c r="B56" s="1" t="s">
        <v>261</v>
      </c>
      <c r="D56" s="322"/>
      <c r="E56" s="322"/>
      <c r="F56" s="322"/>
      <c r="G56" s="322"/>
      <c r="H56" s="322"/>
      <c r="I56" s="322"/>
    </row>
    <row r="57">
      <c r="B57" s="1"/>
      <c r="D57" s="322"/>
      <c r="E57" s="322"/>
      <c r="F57" s="322"/>
      <c r="G57" s="322"/>
      <c r="H57" s="322"/>
      <c r="I57" s="322"/>
    </row>
    <row r="58">
      <c r="B58" s="1"/>
      <c r="D58" s="322"/>
      <c r="E58" s="322"/>
      <c r="F58" s="322"/>
      <c r="G58" s="322"/>
      <c r="H58" s="322"/>
      <c r="I58" s="322"/>
    </row>
    <row r="59">
      <c r="B59" s="1"/>
      <c r="D59" s="322"/>
      <c r="E59" s="322"/>
      <c r="F59" s="322"/>
      <c r="G59" s="322"/>
      <c r="H59" s="322"/>
      <c r="I59" s="322"/>
    </row>
    <row r="60">
      <c r="B60" s="1"/>
      <c r="D60" s="322"/>
      <c r="E60" s="322"/>
      <c r="F60" s="322"/>
      <c r="G60" s="322"/>
      <c r="H60" s="322"/>
      <c r="I60" s="322"/>
    </row>
    <row r="61">
      <c r="B61" s="1"/>
      <c r="D61" s="322"/>
      <c r="E61" s="322"/>
      <c r="F61" s="322"/>
      <c r="G61" s="322"/>
      <c r="H61" s="322"/>
      <c r="I61" s="322"/>
    </row>
    <row r="62">
      <c r="B62" s="317"/>
      <c r="C62" s="317"/>
      <c r="D62" s="317"/>
      <c r="E62" s="317"/>
      <c r="F62" s="317"/>
      <c r="G62" s="317"/>
      <c r="H62" s="317"/>
      <c r="I62" s="322"/>
    </row>
    <row r="63">
      <c r="B63" s="317"/>
      <c r="C63" s="317"/>
      <c r="D63" s="317"/>
      <c r="E63" s="317"/>
      <c r="F63" s="317"/>
      <c r="G63" s="317"/>
      <c r="H63" s="317"/>
      <c r="I63" s="322"/>
    </row>
    <row r="64">
      <c r="B64" s="317"/>
      <c r="C64" s="317"/>
      <c r="D64" s="317"/>
      <c r="E64" s="317"/>
      <c r="F64" s="317"/>
      <c r="G64" s="317"/>
      <c r="H64" s="317"/>
      <c r="I64" s="322"/>
    </row>
    <row r="65">
      <c r="B65" s="317"/>
      <c r="C65" s="317"/>
      <c r="D65" s="317"/>
      <c r="E65" s="317"/>
      <c r="F65" s="317"/>
      <c r="G65" s="317"/>
      <c r="H65" s="317"/>
      <c r="I65" s="322"/>
    </row>
    <row r="66">
      <c r="B66" s="317"/>
      <c r="C66" s="317"/>
      <c r="D66" s="317"/>
      <c r="E66" s="317"/>
      <c r="F66" s="317"/>
      <c r="G66" s="317"/>
      <c r="H66" s="317"/>
      <c r="I66" s="322"/>
    </row>
    <row r="67">
      <c r="B67" s="318"/>
      <c r="C67" s="318"/>
      <c r="D67" s="318"/>
      <c r="E67" s="318"/>
      <c r="F67" s="318"/>
      <c r="G67" s="318"/>
      <c r="H67" s="318"/>
      <c r="I67" s="322"/>
    </row>
    <row r="68">
      <c r="A68" s="372" t="s">
        <v>262</v>
      </c>
      <c r="I68" s="322"/>
    </row>
    <row r="69">
      <c r="A69" s="318" t="s">
        <v>263</v>
      </c>
      <c r="I69" s="322"/>
    </row>
    <row r="70">
      <c r="A70" s="318" t="s">
        <v>264</v>
      </c>
      <c r="I70" s="322"/>
    </row>
    <row r="71">
      <c r="B71" s="373"/>
      <c r="C71" s="321"/>
      <c r="D71" s="322"/>
      <c r="E71" s="322"/>
      <c r="F71" s="322"/>
      <c r="G71" s="322"/>
      <c r="H71" s="322"/>
      <c r="I71" s="322"/>
    </row>
    <row r="72">
      <c r="B72" s="373"/>
      <c r="C72" s="321"/>
      <c r="D72" s="322"/>
      <c r="E72" s="322"/>
      <c r="F72" s="322"/>
      <c r="G72" s="322"/>
      <c r="H72" s="322"/>
      <c r="I72" s="322"/>
    </row>
    <row r="73">
      <c r="D73" s="374" t="s">
        <v>265</v>
      </c>
      <c r="G73" s="322"/>
      <c r="H73" s="322"/>
      <c r="I73" s="322"/>
    </row>
    <row r="74">
      <c r="B74" s="373" t="s">
        <v>266</v>
      </c>
      <c r="D74" s="375" t="s">
        <v>267</v>
      </c>
      <c r="E74" s="376" t="s">
        <v>268</v>
      </c>
      <c r="F74" s="377" t="s">
        <v>269</v>
      </c>
      <c r="G74" s="322"/>
      <c r="H74" s="322"/>
      <c r="I74" s="322"/>
    </row>
    <row r="75">
      <c r="B75" s="1" t="s">
        <v>270</v>
      </c>
      <c r="D75" s="330">
        <f>D15</f>
        <v>40000</v>
      </c>
      <c r="E75" s="330" t="str">
        <f>#REF!</f>
        <v>#REF!</v>
      </c>
      <c r="F75" s="330" t="str">
        <f>F15</f>
        <v/>
      </c>
      <c r="G75" s="328" t="s">
        <v>170</v>
      </c>
      <c r="H75" s="322"/>
      <c r="I75" s="322"/>
    </row>
    <row r="76">
      <c r="B76" s="329"/>
      <c r="D76" s="330"/>
      <c r="E76" s="330"/>
      <c r="G76" s="322"/>
      <c r="H76" s="322"/>
      <c r="I76" s="322"/>
    </row>
    <row r="77">
      <c r="B77" s="1" t="s">
        <v>271</v>
      </c>
      <c r="D77" s="330">
        <f>D17</f>
        <v>14000</v>
      </c>
      <c r="E77" s="330" t="str">
        <f>#REF!</f>
        <v>#REF!</v>
      </c>
      <c r="F77" s="330" t="str">
        <f>F17</f>
        <v/>
      </c>
      <c r="G77" s="328" t="s">
        <v>170</v>
      </c>
      <c r="H77" s="322"/>
      <c r="I77" s="322"/>
    </row>
    <row r="78">
      <c r="B78" s="329"/>
      <c r="D78" s="330"/>
      <c r="E78" s="330"/>
      <c r="G78" s="322"/>
      <c r="H78" s="322"/>
      <c r="I78" s="322"/>
    </row>
    <row r="79">
      <c r="B79" s="1" t="s">
        <v>272</v>
      </c>
      <c r="D79" s="330">
        <f>D19</f>
        <v>18000</v>
      </c>
      <c r="E79" s="330" t="str">
        <f>#REF!</f>
        <v>#REF!</v>
      </c>
      <c r="F79" s="330" t="str">
        <f>F19</f>
        <v/>
      </c>
      <c r="G79" s="328" t="s">
        <v>170</v>
      </c>
      <c r="H79" s="322"/>
      <c r="I79" s="322"/>
    </row>
    <row r="80">
      <c r="B80" s="329"/>
      <c r="D80" s="331"/>
      <c r="E80" s="331"/>
      <c r="G80" s="322"/>
      <c r="H80" s="322"/>
      <c r="I80" s="322"/>
    </row>
    <row r="81">
      <c r="C81" s="378" t="s">
        <v>273</v>
      </c>
      <c r="D81" s="331">
        <f t="shared" ref="D81:F81" si="1">SUM(D75:D79)</f>
        <v>72000</v>
      </c>
      <c r="E81" s="331" t="str">
        <f t="shared" si="1"/>
        <v>#REF!</v>
      </c>
      <c r="F81" s="331">
        <f t="shared" si="1"/>
        <v>0</v>
      </c>
      <c r="G81" s="328" t="s">
        <v>170</v>
      </c>
      <c r="H81" s="322"/>
      <c r="I81" s="322"/>
    </row>
    <row r="82">
      <c r="D82" s="322"/>
      <c r="E82" s="322"/>
      <c r="F82" s="322"/>
      <c r="G82" s="322"/>
      <c r="H82" s="322"/>
      <c r="I82" s="322"/>
    </row>
    <row r="83">
      <c r="B83" s="1"/>
      <c r="D83" s="322"/>
      <c r="E83" s="43"/>
      <c r="F83" s="45"/>
      <c r="G83" s="322"/>
      <c r="H83" s="322"/>
      <c r="I83" s="322"/>
    </row>
    <row r="84">
      <c r="B84" s="379" t="s">
        <v>274</v>
      </c>
      <c r="C84" s="380"/>
      <c r="D84" s="381"/>
      <c r="E84" s="382" t="s">
        <v>275</v>
      </c>
      <c r="F84" s="382" t="s">
        <v>276</v>
      </c>
      <c r="G84" s="322"/>
      <c r="H84" s="322"/>
      <c r="I84" s="322"/>
    </row>
    <row r="85">
      <c r="B85" s="383" t="s">
        <v>277</v>
      </c>
      <c r="C85" s="384"/>
      <c r="D85" s="385"/>
      <c r="E85" s="344"/>
      <c r="F85" s="344"/>
      <c r="G85" s="322"/>
      <c r="H85" s="322"/>
      <c r="I85" s="322"/>
    </row>
    <row r="86">
      <c r="B86" s="345" t="s">
        <v>278</v>
      </c>
      <c r="C86" s="346"/>
      <c r="D86" s="347"/>
      <c r="E86" s="348" t="s">
        <v>242</v>
      </c>
      <c r="F86" s="349" t="s">
        <v>243</v>
      </c>
      <c r="G86" s="322"/>
      <c r="H86" s="322"/>
      <c r="I86" s="322"/>
    </row>
    <row r="87">
      <c r="B87" s="350"/>
      <c r="C87" s="346"/>
      <c r="D87" s="347"/>
      <c r="E87" s="351"/>
      <c r="F87" s="349"/>
      <c r="G87" s="322"/>
      <c r="H87" s="322"/>
      <c r="I87" s="322"/>
    </row>
    <row r="88">
      <c r="B88" s="345"/>
      <c r="C88" s="346"/>
      <c r="D88" s="347"/>
      <c r="E88" s="348"/>
      <c r="F88" s="349"/>
      <c r="G88" s="322"/>
      <c r="H88" s="322"/>
      <c r="I88" s="322"/>
    </row>
    <row r="89">
      <c r="B89" s="345" t="s">
        <v>279</v>
      </c>
      <c r="C89" s="346"/>
      <c r="D89" s="347"/>
      <c r="E89" s="348" t="s">
        <v>245</v>
      </c>
      <c r="F89" s="349" t="s">
        <v>243</v>
      </c>
      <c r="G89" s="322"/>
      <c r="H89" s="322"/>
      <c r="I89" s="322"/>
    </row>
    <row r="90">
      <c r="B90" s="350"/>
      <c r="C90" s="346"/>
      <c r="D90" s="347"/>
      <c r="E90" s="344"/>
      <c r="F90" s="349"/>
      <c r="G90" s="322"/>
      <c r="H90" s="322"/>
      <c r="I90" s="322"/>
    </row>
    <row r="91">
      <c r="B91" s="345"/>
      <c r="C91" s="346"/>
      <c r="D91" s="347"/>
      <c r="E91" s="352"/>
      <c r="F91" s="349"/>
      <c r="G91" s="322"/>
      <c r="H91" s="322"/>
      <c r="I91" s="322"/>
    </row>
    <row r="92">
      <c r="B92" s="345" t="s">
        <v>280</v>
      </c>
      <c r="C92" s="346"/>
      <c r="D92" s="347"/>
      <c r="E92" s="352" t="s">
        <v>247</v>
      </c>
      <c r="F92" s="349" t="s">
        <v>243</v>
      </c>
      <c r="G92" s="322"/>
      <c r="H92" s="322"/>
      <c r="I92" s="322"/>
    </row>
    <row r="93">
      <c r="B93" s="353"/>
      <c r="C93" s="346"/>
      <c r="D93" s="347"/>
      <c r="E93" s="344"/>
      <c r="F93" s="344"/>
      <c r="G93" s="322"/>
      <c r="H93" s="322"/>
      <c r="I93" s="322"/>
    </row>
    <row r="94">
      <c r="B94" s="354" t="s">
        <v>248</v>
      </c>
      <c r="C94" s="355"/>
      <c r="D94" s="356"/>
      <c r="E94" s="357"/>
      <c r="F94" s="357"/>
      <c r="G94" s="322"/>
      <c r="H94" s="322"/>
      <c r="I94" s="322"/>
    </row>
    <row r="95">
      <c r="B95" s="386" t="s">
        <v>281</v>
      </c>
      <c r="C95" s="384"/>
      <c r="D95" s="385"/>
      <c r="E95" s="361"/>
      <c r="F95" s="361"/>
      <c r="G95" s="322"/>
      <c r="H95" s="322"/>
      <c r="I95" s="322"/>
    </row>
    <row r="96">
      <c r="B96" s="345" t="s">
        <v>278</v>
      </c>
      <c r="C96" s="346"/>
      <c r="D96" s="347"/>
      <c r="E96" s="387" t="s">
        <v>251</v>
      </c>
      <c r="F96" s="361" t="s">
        <v>282</v>
      </c>
      <c r="G96" s="322"/>
      <c r="H96" s="322"/>
      <c r="I96" s="322"/>
    </row>
    <row r="97">
      <c r="B97" s="350"/>
      <c r="D97" s="346"/>
      <c r="E97" s="19"/>
      <c r="F97" s="361"/>
      <c r="G97" s="322"/>
      <c r="H97" s="322"/>
      <c r="I97" s="322"/>
    </row>
    <row r="98">
      <c r="B98" s="345" t="s">
        <v>279</v>
      </c>
      <c r="C98" s="346"/>
      <c r="D98" s="347"/>
      <c r="E98" s="21"/>
      <c r="F98" s="361" t="s">
        <v>282</v>
      </c>
      <c r="G98" s="322"/>
      <c r="H98" s="322"/>
      <c r="I98" s="322"/>
    </row>
    <row r="99">
      <c r="B99" s="350"/>
      <c r="C99" s="346"/>
      <c r="D99" s="347"/>
      <c r="E99" s="361"/>
      <c r="F99" s="388"/>
      <c r="G99" s="322"/>
      <c r="H99" s="322"/>
      <c r="I99" s="322"/>
    </row>
    <row r="100">
      <c r="B100" s="345"/>
      <c r="C100" s="346"/>
      <c r="D100" s="347"/>
      <c r="E100" s="361"/>
      <c r="F100" s="361"/>
      <c r="G100" s="322"/>
      <c r="H100" s="322"/>
      <c r="I100" s="322"/>
    </row>
    <row r="101">
      <c r="B101" s="389" t="s">
        <v>283</v>
      </c>
      <c r="C101" s="346"/>
      <c r="D101" s="347"/>
      <c r="E101" s="361"/>
      <c r="F101" s="361" t="s">
        <v>282</v>
      </c>
      <c r="G101" s="322"/>
      <c r="H101" s="322"/>
      <c r="I101" s="322"/>
    </row>
    <row r="102">
      <c r="B102" s="350"/>
      <c r="C102" s="346"/>
      <c r="D102" s="347"/>
      <c r="E102" s="361"/>
      <c r="F102" s="361"/>
      <c r="G102" s="322"/>
      <c r="H102" s="322"/>
      <c r="I102" s="322"/>
    </row>
    <row r="103">
      <c r="B103" s="368"/>
      <c r="C103" s="355"/>
      <c r="D103" s="356"/>
      <c r="E103" s="369"/>
      <c r="F103" s="369"/>
      <c r="G103" s="322"/>
      <c r="H103" s="322"/>
      <c r="I103" s="322"/>
    </row>
    <row r="104">
      <c r="D104" s="322"/>
      <c r="E104" s="322"/>
      <c r="F104" s="322"/>
      <c r="G104" s="322"/>
      <c r="H104" s="322"/>
      <c r="I104" s="322"/>
    </row>
    <row r="105">
      <c r="B105" s="370" t="s">
        <v>254</v>
      </c>
      <c r="D105" s="322"/>
      <c r="E105" s="322"/>
      <c r="F105" s="322"/>
      <c r="G105" s="322"/>
      <c r="H105" s="322"/>
      <c r="I105" s="322"/>
    </row>
    <row r="106">
      <c r="B106" s="370" t="s">
        <v>255</v>
      </c>
      <c r="D106" s="322"/>
      <c r="E106" s="322"/>
      <c r="F106" s="322"/>
      <c r="G106" s="322"/>
      <c r="H106" s="322"/>
      <c r="I106" s="322"/>
    </row>
    <row r="107">
      <c r="B107" s="371"/>
      <c r="D107" s="322"/>
      <c r="E107" s="322"/>
      <c r="F107" s="322"/>
      <c r="G107" s="322"/>
      <c r="H107" s="322"/>
      <c r="I107" s="322"/>
    </row>
    <row r="108">
      <c r="B108" s="370" t="s">
        <v>256</v>
      </c>
      <c r="D108" s="322"/>
      <c r="E108" s="322"/>
      <c r="F108" s="322"/>
      <c r="G108" s="322"/>
      <c r="H108" s="322"/>
      <c r="I108" s="322"/>
    </row>
    <row r="109">
      <c r="B109" s="371"/>
      <c r="D109" s="322"/>
      <c r="E109" s="322"/>
      <c r="F109" s="322"/>
      <c r="G109" s="322"/>
      <c r="H109" s="322"/>
      <c r="I109" s="322"/>
    </row>
    <row r="110">
      <c r="B110" s="370" t="s">
        <v>257</v>
      </c>
      <c r="D110" s="322"/>
      <c r="E110" s="322"/>
      <c r="F110" s="322"/>
      <c r="G110" s="322"/>
      <c r="H110" s="322"/>
      <c r="I110" s="322"/>
    </row>
    <row r="111">
      <c r="B111" s="370" t="s">
        <v>258</v>
      </c>
      <c r="D111" s="322"/>
      <c r="E111" s="322"/>
      <c r="F111" s="322"/>
      <c r="G111" s="322"/>
      <c r="H111" s="322"/>
      <c r="I111" s="322"/>
    </row>
    <row r="112">
      <c r="B112" s="370" t="s">
        <v>259</v>
      </c>
      <c r="D112" s="322"/>
      <c r="E112" s="322"/>
      <c r="F112" s="322"/>
      <c r="G112" s="322"/>
      <c r="H112" s="322"/>
      <c r="I112" s="322"/>
    </row>
    <row r="113">
      <c r="B113" s="371"/>
      <c r="D113" s="322"/>
      <c r="E113" s="322"/>
      <c r="F113" s="322"/>
      <c r="G113" s="322"/>
      <c r="H113" s="322"/>
      <c r="I113" s="322"/>
    </row>
    <row r="114">
      <c r="B114" s="370" t="s">
        <v>260</v>
      </c>
      <c r="D114" s="322"/>
      <c r="E114" s="322"/>
      <c r="F114" s="322"/>
      <c r="G114" s="322"/>
      <c r="H114" s="322"/>
      <c r="I114" s="322"/>
    </row>
    <row r="115">
      <c r="B115" s="1" t="s">
        <v>261</v>
      </c>
      <c r="D115" s="322"/>
      <c r="E115" s="322"/>
      <c r="F115" s="322"/>
      <c r="G115" s="322"/>
      <c r="H115" s="322"/>
      <c r="I115" s="322"/>
    </row>
    <row r="116">
      <c r="B116" s="1"/>
      <c r="D116" s="322"/>
      <c r="E116" s="322"/>
      <c r="F116" s="322"/>
      <c r="G116" s="322"/>
      <c r="H116" s="322"/>
      <c r="I116" s="322"/>
    </row>
  </sheetData>
  <mergeCells count="11">
    <mergeCell ref="A70:H70"/>
    <mergeCell ref="D73:F73"/>
    <mergeCell ref="E83:F83"/>
    <mergeCell ref="E96:E98"/>
    <mergeCell ref="A6:H6"/>
    <mergeCell ref="A7:H7"/>
    <mergeCell ref="A8:H8"/>
    <mergeCell ref="E23:F23"/>
    <mergeCell ref="E37:E39"/>
    <mergeCell ref="A68:H68"/>
    <mergeCell ref="A69:H69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6" width="20.14"/>
    <col customWidth="1" min="7" max="7" width="14.43"/>
    <col customWidth="1" min="8" max="8" width="22.57"/>
    <col customWidth="1" min="9" max="9" width="2.14"/>
  </cols>
  <sheetData>
    <row r="1">
      <c r="B1" s="317"/>
      <c r="C1" s="317"/>
      <c r="D1" s="317"/>
      <c r="E1" s="317"/>
      <c r="F1" s="317"/>
      <c r="G1" s="317"/>
      <c r="H1" s="317"/>
      <c r="I1" s="317"/>
    </row>
    <row r="2">
      <c r="B2" s="317"/>
      <c r="C2" s="317"/>
      <c r="D2" s="317"/>
      <c r="E2" s="317"/>
      <c r="F2" s="317"/>
      <c r="G2" s="317"/>
      <c r="H2" s="317"/>
      <c r="I2" s="317"/>
    </row>
    <row r="3">
      <c r="B3" s="317"/>
      <c r="C3" s="317"/>
      <c r="D3" s="317"/>
      <c r="E3" s="317"/>
      <c r="F3" s="317"/>
      <c r="G3" s="317"/>
      <c r="H3" s="317"/>
      <c r="I3" s="317"/>
    </row>
    <row r="4">
      <c r="B4" s="317"/>
      <c r="C4" s="317"/>
      <c r="D4" s="317"/>
      <c r="E4" s="317"/>
      <c r="F4" s="317"/>
      <c r="G4" s="317"/>
      <c r="H4" s="317"/>
      <c r="I4" s="317"/>
    </row>
    <row r="5">
      <c r="B5" s="318"/>
      <c r="C5" s="318"/>
      <c r="D5" s="318"/>
      <c r="E5" s="318"/>
      <c r="F5" s="318"/>
      <c r="G5" s="318"/>
      <c r="H5" s="318"/>
      <c r="I5" s="317"/>
    </row>
    <row r="6">
      <c r="A6" s="54" t="s">
        <v>223</v>
      </c>
      <c r="I6" s="317"/>
    </row>
    <row r="7">
      <c r="A7" s="318" t="s">
        <v>263</v>
      </c>
      <c r="I7" s="319"/>
    </row>
    <row r="8">
      <c r="A8" s="318" t="s">
        <v>225</v>
      </c>
      <c r="I8" s="319"/>
    </row>
    <row r="9">
      <c r="B9" s="320"/>
      <c r="C9" s="321"/>
      <c r="D9" s="322"/>
      <c r="E9" s="322"/>
      <c r="F9" s="322"/>
      <c r="G9" s="322"/>
      <c r="H9" s="322"/>
      <c r="I9" s="322"/>
    </row>
    <row r="10">
      <c r="C10" s="323"/>
      <c r="D10" s="390" t="s">
        <v>226</v>
      </c>
      <c r="E10" s="319"/>
      <c r="F10" s="319"/>
      <c r="H10" s="322"/>
      <c r="I10" s="322"/>
    </row>
    <row r="11">
      <c r="B11" s="320"/>
      <c r="C11" s="320" t="s">
        <v>227</v>
      </c>
      <c r="D11" s="326" t="s">
        <v>228</v>
      </c>
      <c r="E11" s="326"/>
      <c r="F11" s="326"/>
      <c r="G11" s="322"/>
      <c r="H11" s="322"/>
      <c r="I11" s="322"/>
    </row>
    <row r="12">
      <c r="B12" s="320"/>
      <c r="C12" s="320" t="s">
        <v>284</v>
      </c>
      <c r="D12" s="326" t="s">
        <v>230</v>
      </c>
      <c r="E12" s="326"/>
      <c r="F12" s="326"/>
      <c r="G12" s="322"/>
      <c r="H12" s="322"/>
      <c r="I12" s="322"/>
    </row>
    <row r="13">
      <c r="B13" s="320" t="s">
        <v>231</v>
      </c>
      <c r="C13" s="320"/>
      <c r="D13" s="326"/>
      <c r="E13" s="326"/>
      <c r="F13" s="326"/>
      <c r="G13" s="322"/>
      <c r="H13" s="322"/>
      <c r="I13" s="322"/>
    </row>
    <row r="14">
      <c r="B14" s="1" t="s">
        <v>232</v>
      </c>
      <c r="D14" s="327">
        <v>42000.0</v>
      </c>
      <c r="E14" s="328" t="s">
        <v>233</v>
      </c>
      <c r="F14" s="327"/>
      <c r="H14" s="322"/>
      <c r="I14" s="322"/>
    </row>
    <row r="15">
      <c r="B15" s="329"/>
      <c r="D15" s="330"/>
      <c r="E15" s="322"/>
      <c r="H15" s="322"/>
      <c r="I15" s="322"/>
    </row>
    <row r="16">
      <c r="B16" s="1" t="s">
        <v>234</v>
      </c>
      <c r="D16" s="327">
        <v>14000.0</v>
      </c>
      <c r="E16" s="328" t="s">
        <v>233</v>
      </c>
      <c r="F16" s="327"/>
      <c r="H16" s="322"/>
      <c r="I16" s="322"/>
    </row>
    <row r="17">
      <c r="B17" s="329"/>
      <c r="D17" s="330"/>
      <c r="E17" s="322"/>
      <c r="F17" s="330"/>
      <c r="H17" s="322"/>
      <c r="I17" s="322"/>
    </row>
    <row r="18">
      <c r="B18" s="1" t="s">
        <v>235</v>
      </c>
      <c r="D18" s="327">
        <v>18000.0</v>
      </c>
      <c r="E18" s="328" t="s">
        <v>233</v>
      </c>
      <c r="F18" s="330"/>
      <c r="H18" s="322"/>
      <c r="I18" s="322"/>
    </row>
    <row r="19">
      <c r="B19" s="329"/>
      <c r="D19" s="331"/>
      <c r="E19" s="322"/>
      <c r="H19" s="322"/>
      <c r="I19" s="322"/>
    </row>
    <row r="20">
      <c r="C20" s="332" t="s">
        <v>236</v>
      </c>
      <c r="D20" s="333">
        <f>SUM(D14:D19)</f>
        <v>74000</v>
      </c>
      <c r="E20" s="328" t="s">
        <v>233</v>
      </c>
      <c r="F20" s="333"/>
      <c r="H20" s="322"/>
      <c r="I20" s="322"/>
    </row>
    <row r="21" ht="10.5" customHeight="1">
      <c r="D21" s="322"/>
      <c r="E21" s="322"/>
      <c r="F21" s="322"/>
      <c r="G21" s="322"/>
      <c r="H21" s="322"/>
      <c r="I21" s="322"/>
    </row>
    <row r="22">
      <c r="B22" s="1"/>
      <c r="D22" s="322"/>
      <c r="E22" s="43"/>
      <c r="F22" s="45"/>
      <c r="G22" s="322"/>
      <c r="H22" s="322"/>
      <c r="I22" s="328"/>
    </row>
    <row r="23">
      <c r="A23" s="334"/>
      <c r="B23" s="391" t="s">
        <v>237</v>
      </c>
      <c r="C23" s="392"/>
      <c r="D23" s="393"/>
      <c r="E23" s="394" t="s">
        <v>238</v>
      </c>
      <c r="F23" s="395" t="s">
        <v>239</v>
      </c>
      <c r="G23" s="322"/>
      <c r="H23" s="322"/>
      <c r="I23" s="340"/>
    </row>
    <row r="24">
      <c r="B24" s="341" t="s">
        <v>240</v>
      </c>
      <c r="C24" s="342"/>
      <c r="D24" s="343"/>
      <c r="E24" s="344"/>
      <c r="F24" s="344"/>
      <c r="G24" s="322"/>
      <c r="H24" s="322"/>
      <c r="I24" s="322"/>
    </row>
    <row r="25">
      <c r="B25" s="345" t="s">
        <v>241</v>
      </c>
      <c r="C25" s="346"/>
      <c r="D25" s="347"/>
      <c r="E25" s="348" t="s">
        <v>242</v>
      </c>
      <c r="F25" s="349" t="s">
        <v>243</v>
      </c>
      <c r="G25" s="322"/>
      <c r="H25" s="322"/>
      <c r="I25" s="322"/>
    </row>
    <row r="26">
      <c r="B26" s="350"/>
      <c r="C26" s="346"/>
      <c r="D26" s="347"/>
      <c r="E26" s="351"/>
      <c r="F26" s="349"/>
      <c r="G26" s="322"/>
      <c r="H26" s="322"/>
      <c r="I26" s="322"/>
    </row>
    <row r="27">
      <c r="B27" s="345"/>
      <c r="C27" s="346"/>
      <c r="D27" s="347"/>
      <c r="E27" s="348"/>
      <c r="F27" s="349"/>
      <c r="G27" s="322"/>
      <c r="H27" s="322"/>
      <c r="I27" s="322"/>
    </row>
    <row r="28">
      <c r="B28" s="345" t="s">
        <v>244</v>
      </c>
      <c r="C28" s="346"/>
      <c r="D28" s="347"/>
      <c r="E28" s="348" t="s">
        <v>245</v>
      </c>
      <c r="F28" s="349" t="s">
        <v>243</v>
      </c>
      <c r="G28" s="322"/>
      <c r="H28" s="322"/>
      <c r="I28" s="322"/>
    </row>
    <row r="29">
      <c r="B29" s="350"/>
      <c r="C29" s="346"/>
      <c r="D29" s="347"/>
      <c r="E29" s="344"/>
      <c r="F29" s="349"/>
      <c r="G29" s="322"/>
      <c r="H29" s="322"/>
      <c r="I29" s="322"/>
    </row>
    <row r="30">
      <c r="B30" s="345"/>
      <c r="C30" s="346"/>
      <c r="D30" s="347"/>
      <c r="E30" s="352"/>
      <c r="F30" s="349"/>
      <c r="G30" s="322"/>
      <c r="H30" s="322"/>
      <c r="I30" s="322"/>
    </row>
    <row r="31">
      <c r="B31" s="345" t="s">
        <v>246</v>
      </c>
      <c r="C31" s="346"/>
      <c r="D31" s="347"/>
      <c r="E31" s="352" t="s">
        <v>247</v>
      </c>
      <c r="F31" s="349" t="s">
        <v>243</v>
      </c>
      <c r="G31" s="322"/>
      <c r="H31" s="322"/>
      <c r="I31" s="322"/>
    </row>
    <row r="32">
      <c r="B32" s="353"/>
      <c r="C32" s="346"/>
      <c r="D32" s="347"/>
      <c r="E32" s="344"/>
      <c r="F32" s="344"/>
      <c r="G32" s="322"/>
      <c r="H32" s="322"/>
      <c r="I32" s="322"/>
    </row>
    <row r="33">
      <c r="B33" s="354" t="s">
        <v>248</v>
      </c>
      <c r="C33" s="355"/>
      <c r="D33" s="356"/>
      <c r="E33" s="357"/>
      <c r="F33" s="357"/>
      <c r="G33" s="322"/>
      <c r="H33" s="322"/>
      <c r="I33" s="322"/>
    </row>
    <row r="34">
      <c r="B34" s="396" t="s">
        <v>249</v>
      </c>
      <c r="C34" s="397"/>
      <c r="D34" s="398"/>
      <c r="E34" s="361"/>
      <c r="F34" s="362"/>
      <c r="G34" s="322"/>
      <c r="H34" s="322"/>
      <c r="I34" s="322"/>
    </row>
    <row r="35">
      <c r="B35" s="399" t="s">
        <v>250</v>
      </c>
      <c r="C35" s="346"/>
      <c r="D35" s="347"/>
      <c r="E35" s="347"/>
      <c r="F35" s="362"/>
      <c r="G35" s="322"/>
      <c r="H35" s="322"/>
      <c r="I35" s="322"/>
    </row>
    <row r="36">
      <c r="B36" s="345" t="s">
        <v>241</v>
      </c>
      <c r="C36" s="346"/>
      <c r="D36" s="347"/>
      <c r="E36" s="366" t="s">
        <v>251</v>
      </c>
      <c r="F36" s="367" t="s">
        <v>252</v>
      </c>
      <c r="G36" s="322"/>
      <c r="H36" s="322"/>
      <c r="I36" s="322"/>
    </row>
    <row r="37">
      <c r="B37" s="350"/>
      <c r="C37" s="346"/>
      <c r="D37" s="347"/>
      <c r="F37" s="362"/>
      <c r="G37" s="322"/>
      <c r="H37" s="322"/>
      <c r="I37" s="322"/>
    </row>
    <row r="38">
      <c r="B38" s="345" t="s">
        <v>244</v>
      </c>
      <c r="C38" s="346"/>
      <c r="D38" s="347"/>
      <c r="F38" s="367" t="s">
        <v>252</v>
      </c>
      <c r="G38" s="322"/>
      <c r="H38" s="322"/>
      <c r="I38" s="322"/>
    </row>
    <row r="39">
      <c r="B39" s="350"/>
      <c r="C39" s="346"/>
      <c r="D39" s="347"/>
      <c r="E39" s="347"/>
      <c r="F39" s="367"/>
      <c r="G39" s="322"/>
      <c r="H39" s="322"/>
      <c r="I39" s="322"/>
    </row>
    <row r="40">
      <c r="B40" s="345"/>
      <c r="C40" s="346"/>
      <c r="D40" s="347"/>
      <c r="E40" s="347"/>
      <c r="F40" s="362"/>
      <c r="G40" s="322"/>
      <c r="H40" s="322"/>
      <c r="I40" s="322"/>
    </row>
    <row r="41">
      <c r="B41" s="345" t="s">
        <v>253</v>
      </c>
      <c r="C41" s="346"/>
      <c r="D41" s="347"/>
      <c r="E41" s="347"/>
      <c r="F41" s="367" t="s">
        <v>252</v>
      </c>
      <c r="G41" s="322"/>
      <c r="H41" s="322"/>
      <c r="I41" s="322"/>
    </row>
    <row r="42">
      <c r="B42" s="350"/>
      <c r="C42" s="346"/>
      <c r="D42" s="347"/>
      <c r="E42" s="347"/>
      <c r="F42" s="362"/>
      <c r="G42" s="322"/>
      <c r="H42" s="322"/>
      <c r="I42" s="322"/>
    </row>
    <row r="43">
      <c r="B43" s="368"/>
      <c r="C43" s="355"/>
      <c r="D43" s="356"/>
      <c r="E43" s="356"/>
      <c r="F43" s="369"/>
      <c r="G43" s="322"/>
      <c r="H43" s="322"/>
      <c r="I43" s="322"/>
    </row>
    <row r="44" ht="5.25" customHeight="1">
      <c r="D44" s="322"/>
      <c r="E44" s="322"/>
      <c r="F44" s="322"/>
      <c r="G44" s="322"/>
      <c r="H44" s="322"/>
      <c r="I44" s="322"/>
    </row>
    <row r="45">
      <c r="B45" s="370" t="s">
        <v>254</v>
      </c>
      <c r="D45" s="322"/>
      <c r="E45" s="322"/>
      <c r="F45" s="322"/>
      <c r="G45" s="322"/>
      <c r="H45" s="322"/>
      <c r="I45" s="322"/>
    </row>
    <row r="46">
      <c r="B46" s="370" t="s">
        <v>255</v>
      </c>
      <c r="D46" s="322"/>
      <c r="E46" s="322"/>
      <c r="F46" s="322"/>
      <c r="G46" s="322"/>
      <c r="H46" s="322"/>
      <c r="I46" s="322"/>
    </row>
    <row r="47">
      <c r="B47" s="371"/>
      <c r="D47" s="322"/>
      <c r="E47" s="322"/>
      <c r="F47" s="322"/>
      <c r="G47" s="322"/>
      <c r="H47" s="322"/>
      <c r="I47" s="322"/>
    </row>
    <row r="48">
      <c r="B48" s="370" t="s">
        <v>256</v>
      </c>
      <c r="D48" s="322"/>
      <c r="E48" s="322"/>
      <c r="F48" s="322"/>
      <c r="G48" s="322"/>
      <c r="H48" s="322"/>
      <c r="I48" s="322"/>
    </row>
    <row r="49">
      <c r="B49" s="371"/>
      <c r="D49" s="322"/>
      <c r="E49" s="322"/>
      <c r="F49" s="322"/>
      <c r="G49" s="322"/>
      <c r="H49" s="322"/>
      <c r="I49" s="322"/>
    </row>
    <row r="50">
      <c r="B50" s="370" t="s">
        <v>257</v>
      </c>
      <c r="D50" s="322"/>
      <c r="E50" s="322"/>
      <c r="F50" s="322"/>
      <c r="G50" s="322"/>
      <c r="H50" s="322"/>
      <c r="I50" s="322"/>
    </row>
    <row r="51">
      <c r="B51" s="370" t="s">
        <v>258</v>
      </c>
      <c r="D51" s="322"/>
      <c r="E51" s="322"/>
      <c r="F51" s="322"/>
      <c r="G51" s="322"/>
      <c r="H51" s="322"/>
      <c r="I51" s="322"/>
    </row>
    <row r="52">
      <c r="B52" s="370" t="s">
        <v>259</v>
      </c>
      <c r="D52" s="322"/>
      <c r="E52" s="322"/>
      <c r="F52" s="322"/>
      <c r="G52" s="322"/>
      <c r="H52" s="322"/>
      <c r="I52" s="322"/>
    </row>
    <row r="53">
      <c r="B53" s="371"/>
      <c r="D53" s="322"/>
      <c r="E53" s="322"/>
      <c r="F53" s="322"/>
      <c r="G53" s="322"/>
      <c r="H53" s="322"/>
      <c r="I53" s="322"/>
    </row>
    <row r="54">
      <c r="B54" s="370" t="s">
        <v>260</v>
      </c>
      <c r="D54" s="322"/>
      <c r="E54" s="322"/>
      <c r="F54" s="322"/>
      <c r="G54" s="322"/>
      <c r="H54" s="322"/>
      <c r="I54" s="322"/>
    </row>
    <row r="55">
      <c r="B55" s="1" t="s">
        <v>261</v>
      </c>
      <c r="D55" s="322"/>
      <c r="E55" s="322"/>
      <c r="F55" s="322"/>
      <c r="G55" s="322"/>
      <c r="H55" s="322"/>
      <c r="I55" s="322"/>
    </row>
    <row r="56">
      <c r="B56" s="1"/>
      <c r="D56" s="322"/>
      <c r="E56" s="322"/>
      <c r="F56" s="322"/>
      <c r="G56" s="322"/>
      <c r="H56" s="322"/>
      <c r="I56" s="322"/>
    </row>
    <row r="57">
      <c r="B57" s="1"/>
      <c r="D57" s="322"/>
      <c r="E57" s="322"/>
      <c r="F57" s="322"/>
      <c r="G57" s="322"/>
      <c r="H57" s="322"/>
      <c r="I57" s="322"/>
    </row>
    <row r="58">
      <c r="B58" s="1"/>
      <c r="D58" s="322"/>
      <c r="E58" s="322"/>
      <c r="F58" s="322"/>
      <c r="G58" s="322"/>
      <c r="H58" s="322"/>
      <c r="I58" s="322"/>
    </row>
    <row r="59">
      <c r="B59" s="1"/>
      <c r="D59" s="322"/>
      <c r="E59" s="322"/>
      <c r="F59" s="322"/>
      <c r="G59" s="322"/>
      <c r="H59" s="322"/>
      <c r="I59" s="322"/>
    </row>
    <row r="60">
      <c r="B60" s="317"/>
      <c r="C60" s="317"/>
      <c r="D60" s="317"/>
      <c r="E60" s="317"/>
      <c r="F60" s="317"/>
      <c r="G60" s="317"/>
      <c r="H60" s="317"/>
      <c r="I60" s="322"/>
    </row>
    <row r="61">
      <c r="B61" s="317"/>
      <c r="C61" s="317"/>
      <c r="D61" s="317"/>
      <c r="E61" s="317"/>
      <c r="F61" s="317"/>
      <c r="G61" s="317"/>
      <c r="H61" s="317"/>
      <c r="I61" s="322"/>
    </row>
    <row r="62">
      <c r="B62" s="317"/>
      <c r="C62" s="317"/>
      <c r="D62" s="317"/>
      <c r="E62" s="317"/>
      <c r="F62" s="317"/>
      <c r="G62" s="317"/>
      <c r="H62" s="317"/>
      <c r="I62" s="322"/>
    </row>
    <row r="63">
      <c r="B63" s="317"/>
      <c r="C63" s="317"/>
      <c r="D63" s="317"/>
      <c r="E63" s="317"/>
      <c r="F63" s="317"/>
      <c r="G63" s="317"/>
      <c r="H63" s="317"/>
      <c r="I63" s="322"/>
    </row>
    <row r="64">
      <c r="B64" s="317"/>
      <c r="C64" s="317"/>
      <c r="D64" s="317"/>
      <c r="E64" s="317"/>
      <c r="F64" s="317"/>
      <c r="G64" s="317"/>
      <c r="H64" s="317"/>
      <c r="I64" s="322"/>
    </row>
    <row r="65">
      <c r="B65" s="318"/>
      <c r="C65" s="318"/>
      <c r="D65" s="318"/>
      <c r="E65" s="318"/>
      <c r="F65" s="318"/>
      <c r="G65" s="318"/>
      <c r="H65" s="318"/>
      <c r="I65" s="322"/>
    </row>
    <row r="66">
      <c r="A66" s="372" t="s">
        <v>262</v>
      </c>
      <c r="I66" s="322"/>
    </row>
    <row r="67">
      <c r="A67" s="318" t="str">
        <f>A7</f>
        <v>SHANGHAI PORT</v>
      </c>
      <c r="I67" s="322"/>
    </row>
    <row r="68">
      <c r="A68" s="318" t="s">
        <v>264</v>
      </c>
      <c r="I68" s="322"/>
    </row>
    <row r="69">
      <c r="B69" s="373"/>
      <c r="C69" s="321"/>
      <c r="D69" s="322"/>
      <c r="E69" s="322"/>
      <c r="F69" s="322"/>
      <c r="G69" s="322"/>
      <c r="H69" s="322"/>
      <c r="I69" s="322"/>
    </row>
    <row r="70">
      <c r="B70" s="373"/>
      <c r="C70" s="321"/>
      <c r="D70" s="322"/>
      <c r="E70" s="322"/>
      <c r="F70" s="322"/>
      <c r="G70" s="322"/>
      <c r="H70" s="322"/>
      <c r="I70" s="322"/>
    </row>
    <row r="71">
      <c r="D71" s="390" t="s">
        <v>265</v>
      </c>
      <c r="G71" s="322"/>
      <c r="H71" s="322"/>
      <c r="I71" s="322"/>
    </row>
    <row r="72">
      <c r="B72" s="373" t="s">
        <v>266</v>
      </c>
      <c r="D72" s="326" t="s">
        <v>267</v>
      </c>
      <c r="E72" s="400"/>
      <c r="F72" s="400"/>
      <c r="G72" s="322"/>
      <c r="H72" s="322"/>
      <c r="I72" s="322"/>
    </row>
    <row r="73">
      <c r="B73" s="1" t="s">
        <v>270</v>
      </c>
      <c r="D73" s="330">
        <f>D14</f>
        <v>42000</v>
      </c>
      <c r="E73" s="330"/>
      <c r="F73" s="330"/>
      <c r="G73" s="328"/>
      <c r="H73" s="322"/>
      <c r="I73" s="322"/>
    </row>
    <row r="74">
      <c r="B74" s="329"/>
      <c r="D74" s="330"/>
      <c r="E74" s="330"/>
      <c r="G74" s="322"/>
      <c r="H74" s="322"/>
      <c r="I74" s="322"/>
    </row>
    <row r="75">
      <c r="B75" s="1" t="s">
        <v>271</v>
      </c>
      <c r="D75" s="330">
        <f>D16</f>
        <v>14000</v>
      </c>
      <c r="E75" s="330"/>
      <c r="F75" s="330"/>
      <c r="G75" s="328"/>
      <c r="H75" s="322"/>
      <c r="I75" s="322"/>
    </row>
    <row r="76">
      <c r="B76" s="329"/>
      <c r="D76" s="330"/>
      <c r="E76" s="330"/>
      <c r="G76" s="322"/>
      <c r="H76" s="322"/>
      <c r="I76" s="322"/>
    </row>
    <row r="77">
      <c r="B77" s="1" t="s">
        <v>272</v>
      </c>
      <c r="D77" s="330">
        <f>D18</f>
        <v>18000</v>
      </c>
      <c r="E77" s="330"/>
      <c r="F77" s="330"/>
      <c r="G77" s="328"/>
      <c r="H77" s="322"/>
      <c r="I77" s="322"/>
    </row>
    <row r="78">
      <c r="B78" s="329"/>
      <c r="D78" s="331"/>
      <c r="E78" s="331"/>
      <c r="G78" s="322"/>
      <c r="H78" s="322"/>
      <c r="I78" s="322"/>
    </row>
    <row r="79">
      <c r="C79" s="378" t="s">
        <v>273</v>
      </c>
      <c r="D79" s="331">
        <f>SUM(D73:D77)</f>
        <v>74000</v>
      </c>
      <c r="E79" s="331"/>
      <c r="F79" s="331"/>
      <c r="G79" s="328"/>
      <c r="H79" s="322"/>
      <c r="I79" s="322"/>
    </row>
    <row r="80">
      <c r="D80" s="322"/>
      <c r="E80" s="322"/>
      <c r="F80" s="322"/>
      <c r="G80" s="322"/>
      <c r="H80" s="322"/>
      <c r="I80" s="322"/>
    </row>
    <row r="81">
      <c r="B81" s="1"/>
      <c r="D81" s="322"/>
      <c r="E81" s="43"/>
      <c r="F81" s="45"/>
      <c r="G81" s="322"/>
      <c r="H81" s="322"/>
      <c r="I81" s="322"/>
    </row>
    <row r="82">
      <c r="B82" s="401" t="s">
        <v>274</v>
      </c>
      <c r="C82" s="402"/>
      <c r="D82" s="403"/>
      <c r="E82" s="404" t="s">
        <v>275</v>
      </c>
      <c r="F82" s="404" t="s">
        <v>276</v>
      </c>
      <c r="G82" s="322"/>
      <c r="H82" s="322"/>
      <c r="I82" s="322"/>
    </row>
    <row r="83">
      <c r="B83" s="405" t="s">
        <v>277</v>
      </c>
      <c r="C83" s="406"/>
      <c r="D83" s="407"/>
      <c r="E83" s="344"/>
      <c r="F83" s="344"/>
      <c r="G83" s="322"/>
      <c r="H83" s="322"/>
      <c r="I83" s="322"/>
    </row>
    <row r="84">
      <c r="B84" s="345" t="s">
        <v>278</v>
      </c>
      <c r="C84" s="346"/>
      <c r="D84" s="347"/>
      <c r="E84" s="348" t="s">
        <v>242</v>
      </c>
      <c r="F84" s="349" t="s">
        <v>243</v>
      </c>
      <c r="G84" s="322"/>
      <c r="H84" s="322"/>
      <c r="I84" s="322"/>
    </row>
    <row r="85">
      <c r="B85" s="350"/>
      <c r="C85" s="346"/>
      <c r="D85" s="347"/>
      <c r="E85" s="351"/>
      <c r="F85" s="349"/>
      <c r="G85" s="322"/>
      <c r="H85" s="322"/>
      <c r="I85" s="322"/>
    </row>
    <row r="86">
      <c r="B86" s="345"/>
      <c r="C86" s="346"/>
      <c r="D86" s="347"/>
      <c r="E86" s="348"/>
      <c r="F86" s="349"/>
      <c r="G86" s="322"/>
      <c r="H86" s="322"/>
      <c r="I86" s="322"/>
    </row>
    <row r="87">
      <c r="B87" s="345" t="s">
        <v>279</v>
      </c>
      <c r="C87" s="346"/>
      <c r="D87" s="347"/>
      <c r="E87" s="348" t="s">
        <v>245</v>
      </c>
      <c r="F87" s="349" t="s">
        <v>243</v>
      </c>
      <c r="G87" s="322"/>
      <c r="H87" s="322"/>
      <c r="I87" s="322"/>
    </row>
    <row r="88">
      <c r="B88" s="350"/>
      <c r="C88" s="346"/>
      <c r="D88" s="347"/>
      <c r="E88" s="344"/>
      <c r="F88" s="349"/>
      <c r="G88" s="322"/>
      <c r="H88" s="322"/>
      <c r="I88" s="322"/>
    </row>
    <row r="89">
      <c r="B89" s="345"/>
      <c r="C89" s="346"/>
      <c r="D89" s="347"/>
      <c r="E89" s="352"/>
      <c r="F89" s="349"/>
      <c r="G89" s="322"/>
      <c r="H89" s="322"/>
      <c r="I89" s="322"/>
    </row>
    <row r="90">
      <c r="B90" s="345" t="s">
        <v>280</v>
      </c>
      <c r="C90" s="346"/>
      <c r="D90" s="347"/>
      <c r="E90" s="352" t="s">
        <v>247</v>
      </c>
      <c r="F90" s="349" t="s">
        <v>243</v>
      </c>
      <c r="G90" s="322"/>
      <c r="H90" s="322"/>
      <c r="I90" s="322"/>
    </row>
    <row r="91">
      <c r="B91" s="353"/>
      <c r="C91" s="346"/>
      <c r="D91" s="347"/>
      <c r="E91" s="344"/>
      <c r="F91" s="344"/>
      <c r="G91" s="322"/>
      <c r="H91" s="322"/>
      <c r="I91" s="322"/>
    </row>
    <row r="92">
      <c r="B92" s="354" t="s">
        <v>248</v>
      </c>
      <c r="C92" s="355"/>
      <c r="D92" s="356"/>
      <c r="E92" s="357"/>
      <c r="F92" s="357"/>
      <c r="G92" s="322"/>
      <c r="H92" s="322"/>
      <c r="I92" s="322"/>
    </row>
    <row r="93">
      <c r="B93" s="408" t="s">
        <v>281</v>
      </c>
      <c r="C93" s="397"/>
      <c r="D93" s="398"/>
      <c r="E93" s="361"/>
      <c r="F93" s="361"/>
      <c r="G93" s="322"/>
      <c r="H93" s="322"/>
      <c r="I93" s="322"/>
    </row>
    <row r="94">
      <c r="B94" s="345" t="s">
        <v>278</v>
      </c>
      <c r="C94" s="346"/>
      <c r="D94" s="347"/>
      <c r="E94" s="409" t="s">
        <v>251</v>
      </c>
      <c r="F94" s="361" t="s">
        <v>282</v>
      </c>
      <c r="G94" s="322"/>
      <c r="H94" s="322"/>
      <c r="I94" s="322"/>
    </row>
    <row r="95">
      <c r="B95" s="350"/>
      <c r="D95" s="346"/>
      <c r="E95" s="19"/>
      <c r="F95" s="361"/>
      <c r="G95" s="322"/>
      <c r="H95" s="322"/>
      <c r="I95" s="322"/>
    </row>
    <row r="96">
      <c r="B96" s="345" t="s">
        <v>279</v>
      </c>
      <c r="C96" s="346"/>
      <c r="D96" s="347"/>
      <c r="E96" s="21"/>
      <c r="F96" s="361" t="s">
        <v>282</v>
      </c>
      <c r="G96" s="322"/>
      <c r="H96" s="322"/>
      <c r="I96" s="322"/>
    </row>
    <row r="97">
      <c r="B97" s="350"/>
      <c r="C97" s="346"/>
      <c r="D97" s="347"/>
      <c r="E97" s="361"/>
      <c r="F97" s="388"/>
      <c r="G97" s="322"/>
      <c r="H97" s="322"/>
      <c r="I97" s="322"/>
    </row>
    <row r="98">
      <c r="B98" s="345"/>
      <c r="C98" s="346"/>
      <c r="D98" s="347"/>
      <c r="E98" s="361"/>
      <c r="F98" s="361"/>
      <c r="G98" s="322"/>
      <c r="H98" s="322"/>
      <c r="I98" s="322"/>
    </row>
    <row r="99">
      <c r="B99" s="389" t="s">
        <v>283</v>
      </c>
      <c r="C99" s="346"/>
      <c r="D99" s="347"/>
      <c r="E99" s="361"/>
      <c r="F99" s="361" t="s">
        <v>282</v>
      </c>
      <c r="G99" s="322"/>
      <c r="H99" s="322"/>
      <c r="I99" s="322"/>
    </row>
    <row r="100">
      <c r="B100" s="350"/>
      <c r="C100" s="346"/>
      <c r="D100" s="347"/>
      <c r="E100" s="361"/>
      <c r="F100" s="361"/>
      <c r="G100" s="322"/>
      <c r="H100" s="322"/>
      <c r="I100" s="322"/>
    </row>
    <row r="101">
      <c r="B101" s="368"/>
      <c r="C101" s="355"/>
      <c r="D101" s="356"/>
      <c r="E101" s="369"/>
      <c r="F101" s="369"/>
      <c r="G101" s="322"/>
      <c r="H101" s="322"/>
      <c r="I101" s="322"/>
    </row>
    <row r="102">
      <c r="D102" s="322"/>
      <c r="E102" s="322"/>
      <c r="F102" s="322"/>
      <c r="G102" s="322"/>
      <c r="H102" s="322"/>
      <c r="I102" s="322"/>
    </row>
    <row r="103">
      <c r="B103" s="370" t="s">
        <v>254</v>
      </c>
      <c r="D103" s="322"/>
      <c r="E103" s="322"/>
      <c r="F103" s="322"/>
      <c r="G103" s="322"/>
      <c r="H103" s="322"/>
      <c r="I103" s="322"/>
    </row>
    <row r="104">
      <c r="B104" s="370" t="s">
        <v>255</v>
      </c>
      <c r="D104" s="322"/>
      <c r="E104" s="322"/>
      <c r="F104" s="322"/>
      <c r="G104" s="322"/>
      <c r="H104" s="322"/>
      <c r="I104" s="322"/>
    </row>
    <row r="105">
      <c r="B105" s="371"/>
      <c r="D105" s="322"/>
      <c r="E105" s="322"/>
      <c r="F105" s="322"/>
      <c r="G105" s="322"/>
      <c r="H105" s="322"/>
      <c r="I105" s="322"/>
    </row>
    <row r="106">
      <c r="B106" s="370" t="s">
        <v>256</v>
      </c>
      <c r="D106" s="322"/>
      <c r="E106" s="322"/>
      <c r="F106" s="322"/>
      <c r="G106" s="322"/>
      <c r="H106" s="322"/>
      <c r="I106" s="322"/>
    </row>
    <row r="107">
      <c r="B107" s="371"/>
      <c r="D107" s="322"/>
      <c r="E107" s="322"/>
      <c r="F107" s="322"/>
      <c r="G107" s="322"/>
      <c r="H107" s="322"/>
      <c r="I107" s="322"/>
    </row>
    <row r="108">
      <c r="B108" s="370" t="s">
        <v>257</v>
      </c>
      <c r="D108" s="322"/>
      <c r="E108" s="322"/>
      <c r="F108" s="322"/>
      <c r="G108" s="322"/>
      <c r="H108" s="322"/>
      <c r="I108" s="322"/>
    </row>
    <row r="109">
      <c r="B109" s="370" t="s">
        <v>258</v>
      </c>
      <c r="D109" s="322"/>
      <c r="E109" s="322"/>
      <c r="F109" s="322"/>
      <c r="G109" s="322"/>
      <c r="H109" s="322"/>
      <c r="I109" s="322"/>
    </row>
    <row r="110">
      <c r="B110" s="370" t="s">
        <v>259</v>
      </c>
      <c r="D110" s="322"/>
      <c r="E110" s="322"/>
      <c r="F110" s="322"/>
      <c r="G110" s="322"/>
      <c r="H110" s="322"/>
      <c r="I110" s="322"/>
    </row>
    <row r="111">
      <c r="B111" s="371"/>
      <c r="D111" s="322"/>
      <c r="E111" s="322"/>
      <c r="F111" s="322"/>
      <c r="G111" s="322"/>
      <c r="H111" s="322"/>
      <c r="I111" s="322"/>
    </row>
    <row r="112">
      <c r="B112" s="370" t="s">
        <v>260</v>
      </c>
      <c r="D112" s="322"/>
      <c r="E112" s="322"/>
      <c r="F112" s="322"/>
      <c r="G112" s="322"/>
      <c r="H112" s="322"/>
      <c r="I112" s="322"/>
    </row>
    <row r="113">
      <c r="B113" s="1" t="s">
        <v>261</v>
      </c>
      <c r="D113" s="322"/>
      <c r="E113" s="322"/>
      <c r="F113" s="322"/>
      <c r="G113" s="322"/>
      <c r="H113" s="322"/>
      <c r="I113" s="322"/>
    </row>
    <row r="114">
      <c r="B114" s="1"/>
      <c r="D114" s="322"/>
      <c r="E114" s="322"/>
      <c r="F114" s="322"/>
      <c r="G114" s="322"/>
      <c r="H114" s="322"/>
      <c r="I114" s="322"/>
    </row>
  </sheetData>
  <mergeCells count="11">
    <mergeCell ref="A68:H68"/>
    <mergeCell ref="D71:F71"/>
    <mergeCell ref="E81:F81"/>
    <mergeCell ref="E94:E96"/>
    <mergeCell ref="A6:H6"/>
    <mergeCell ref="A7:H7"/>
    <mergeCell ref="A8:H8"/>
    <mergeCell ref="E22:F22"/>
    <mergeCell ref="E36:E38"/>
    <mergeCell ref="A66:H66"/>
    <mergeCell ref="A67:H67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3.86"/>
    <col customWidth="1" min="2" max="2" width="4.86"/>
    <col customWidth="1" min="3" max="3" width="53.86"/>
    <col customWidth="1" min="16" max="17" width="3.57"/>
  </cols>
  <sheetData>
    <row r="1" ht="6.0" customHeight="1"/>
    <row r="2">
      <c r="B2" s="54" t="s">
        <v>285</v>
      </c>
    </row>
    <row r="3">
      <c r="B3" s="242" t="s">
        <v>153</v>
      </c>
    </row>
    <row r="4">
      <c r="B4" s="242" t="s">
        <v>286</v>
      </c>
    </row>
    <row r="5">
      <c r="B5" s="242" t="s">
        <v>154</v>
      </c>
    </row>
    <row r="6" ht="5.25" customHeight="1"/>
    <row r="7">
      <c r="D7" s="243" t="s">
        <v>287</v>
      </c>
      <c r="E7" s="244"/>
      <c r="F7" s="244"/>
      <c r="G7" s="245"/>
      <c r="H7" s="246" t="s">
        <v>156</v>
      </c>
      <c r="I7" s="245"/>
      <c r="J7" s="246" t="s">
        <v>157</v>
      </c>
      <c r="K7" s="245"/>
      <c r="L7" s="246" t="s">
        <v>159</v>
      </c>
      <c r="M7" s="245"/>
      <c r="N7" s="246" t="s">
        <v>160</v>
      </c>
      <c r="O7" s="245"/>
    </row>
    <row r="8">
      <c r="D8" s="248" t="s">
        <v>162</v>
      </c>
      <c r="E8" s="249"/>
      <c r="F8" s="250" t="s">
        <v>163</v>
      </c>
      <c r="G8" s="249"/>
      <c r="H8" s="252" t="s">
        <v>165</v>
      </c>
      <c r="I8" s="249"/>
      <c r="J8" s="252" t="s">
        <v>165</v>
      </c>
      <c r="K8" s="249"/>
      <c r="L8" s="252" t="s">
        <v>165</v>
      </c>
      <c r="M8" s="249"/>
      <c r="N8" s="252" t="s">
        <v>165</v>
      </c>
      <c r="O8" s="249"/>
    </row>
    <row r="9">
      <c r="B9" s="253"/>
      <c r="C9" s="254" t="s">
        <v>166</v>
      </c>
      <c r="D9" s="255" t="s">
        <v>167</v>
      </c>
      <c r="E9" s="57"/>
      <c r="F9" s="255" t="s">
        <v>167</v>
      </c>
      <c r="G9" s="57"/>
      <c r="H9" s="255" t="s">
        <v>167</v>
      </c>
      <c r="I9" s="57"/>
      <c r="J9" s="255" t="s">
        <v>167</v>
      </c>
      <c r="K9" s="57"/>
      <c r="L9" s="255" t="s">
        <v>167</v>
      </c>
      <c r="M9" s="57"/>
      <c r="N9" s="255" t="s">
        <v>167</v>
      </c>
      <c r="O9" s="57"/>
    </row>
    <row r="10">
      <c r="B10" s="256"/>
      <c r="C10" s="257"/>
      <c r="D10" s="258" t="s">
        <v>168</v>
      </c>
      <c r="E10" s="259">
        <v>32.0</v>
      </c>
      <c r="F10" s="260" t="s">
        <v>168</v>
      </c>
      <c r="G10" s="259">
        <f>E10</f>
        <v>32</v>
      </c>
      <c r="H10" s="258" t="s">
        <v>168</v>
      </c>
      <c r="I10" s="259">
        <v>32.0</v>
      </c>
      <c r="J10" s="258" t="s">
        <v>168</v>
      </c>
      <c r="K10" s="259">
        <v>32.0</v>
      </c>
      <c r="L10" s="258" t="s">
        <v>168</v>
      </c>
      <c r="M10" s="259">
        <v>32.0</v>
      </c>
      <c r="N10" s="258" t="s">
        <v>168</v>
      </c>
      <c r="O10" s="259">
        <v>32.0</v>
      </c>
    </row>
    <row r="11">
      <c r="B11" s="261"/>
      <c r="C11" s="88"/>
      <c r="D11" s="262" t="s">
        <v>169</v>
      </c>
      <c r="E11" s="263" t="s">
        <v>170</v>
      </c>
      <c r="F11" s="262" t="s">
        <v>169</v>
      </c>
      <c r="G11" s="263" t="s">
        <v>170</v>
      </c>
      <c r="H11" s="262" t="s">
        <v>169</v>
      </c>
      <c r="I11" s="263" t="s">
        <v>170</v>
      </c>
      <c r="J11" s="262" t="s">
        <v>169</v>
      </c>
      <c r="K11" s="263" t="s">
        <v>170</v>
      </c>
      <c r="L11" s="262" t="s">
        <v>169</v>
      </c>
      <c r="M11" s="263" t="s">
        <v>170</v>
      </c>
      <c r="N11" s="262" t="s">
        <v>169</v>
      </c>
      <c r="O11" s="263" t="s">
        <v>170</v>
      </c>
    </row>
    <row r="12">
      <c r="B12" s="268">
        <v>1.0</v>
      </c>
      <c r="C12" s="269" t="s">
        <v>172</v>
      </c>
      <c r="D12" s="266">
        <v>1230.0</v>
      </c>
      <c r="E12" s="276">
        <f>D12*E10</f>
        <v>39360</v>
      </c>
      <c r="F12" s="266">
        <v>1100.0</v>
      </c>
      <c r="G12" s="276">
        <f>F12*G10</f>
        <v>35200</v>
      </c>
      <c r="H12" s="266">
        <f>25600/I10</f>
        <v>800</v>
      </c>
      <c r="I12" s="276">
        <f>H12*I10</f>
        <v>25600</v>
      </c>
      <c r="J12" s="266">
        <f>26560/K10</f>
        <v>830</v>
      </c>
      <c r="K12" s="276">
        <f>J12*K10</f>
        <v>26560</v>
      </c>
      <c r="L12" s="266">
        <f>28160/M10</f>
        <v>880</v>
      </c>
      <c r="M12" s="276">
        <f>L12*M10</f>
        <v>28160</v>
      </c>
      <c r="N12" s="266">
        <v>1350.0</v>
      </c>
      <c r="O12" s="276">
        <f>N12*O10</f>
        <v>43200</v>
      </c>
    </row>
    <row r="13">
      <c r="B13" s="268">
        <v>2.0</v>
      </c>
      <c r="C13" s="269" t="s">
        <v>173</v>
      </c>
      <c r="D13" s="270"/>
      <c r="E13" s="267">
        <v>5740.0</v>
      </c>
      <c r="F13" s="270"/>
      <c r="G13" s="267">
        <v>5740.0</v>
      </c>
      <c r="H13" s="270"/>
      <c r="I13" s="267">
        <v>5740.0</v>
      </c>
      <c r="J13" s="270"/>
      <c r="K13" s="267">
        <v>5740.0</v>
      </c>
      <c r="L13" s="270"/>
      <c r="M13" s="267">
        <v>5740.0</v>
      </c>
      <c r="N13" s="270"/>
      <c r="O13" s="267">
        <v>5740.0</v>
      </c>
    </row>
    <row r="14">
      <c r="B14" s="268">
        <v>3.0</v>
      </c>
      <c r="C14" s="269" t="s">
        <v>174</v>
      </c>
      <c r="D14" s="266">
        <v>150.0</v>
      </c>
      <c r="E14" s="276">
        <f>D14*E10</f>
        <v>4800</v>
      </c>
      <c r="F14" s="266">
        <v>150.0</v>
      </c>
      <c r="G14" s="276">
        <f>F14*G10</f>
        <v>4800</v>
      </c>
      <c r="H14" s="266">
        <v>150.0</v>
      </c>
      <c r="I14" s="276">
        <f>H14*I10</f>
        <v>4800</v>
      </c>
      <c r="J14" s="266">
        <v>150.0</v>
      </c>
      <c r="K14" s="276">
        <f>J14*K10</f>
        <v>4800</v>
      </c>
      <c r="L14" s="266">
        <v>150.0</v>
      </c>
      <c r="M14" s="276">
        <f>L14*M10</f>
        <v>4800</v>
      </c>
      <c r="N14" s="266">
        <v>150.0</v>
      </c>
      <c r="O14" s="276">
        <f>N14*O10</f>
        <v>4800</v>
      </c>
    </row>
    <row r="15">
      <c r="B15" s="268"/>
      <c r="C15" s="274"/>
      <c r="D15" s="270"/>
      <c r="E15" s="275"/>
      <c r="F15" s="270"/>
      <c r="G15" s="275"/>
      <c r="H15" s="270"/>
      <c r="I15" s="275"/>
      <c r="J15" s="270"/>
      <c r="K15" s="275"/>
      <c r="L15" s="270"/>
      <c r="M15" s="275"/>
      <c r="N15" s="270"/>
      <c r="O15" s="275"/>
    </row>
    <row r="16">
      <c r="B16" s="268"/>
      <c r="C16" s="289" t="s">
        <v>203</v>
      </c>
      <c r="D16" s="270"/>
      <c r="E16" s="267">
        <f>SUM(E17:E27)</f>
        <v>11090</v>
      </c>
      <c r="F16" s="270"/>
      <c r="G16" s="267">
        <f>SUM(G17:G27)</f>
        <v>11090</v>
      </c>
      <c r="H16" s="270"/>
      <c r="I16" s="267">
        <f>SUM(I17:I27)</f>
        <v>11090</v>
      </c>
      <c r="J16" s="270"/>
      <c r="K16" s="267">
        <f>SUM(K17:K27)</f>
        <v>11090</v>
      </c>
      <c r="L16" s="270"/>
      <c r="M16" s="267">
        <f>SUM(M17:M27)</f>
        <v>11090</v>
      </c>
      <c r="N16" s="270"/>
      <c r="O16" s="267">
        <f>SUM(O17:O27)</f>
        <v>11090</v>
      </c>
    </row>
    <row r="17">
      <c r="B17" s="268">
        <v>4.0</v>
      </c>
      <c r="C17" s="274" t="s">
        <v>177</v>
      </c>
      <c r="D17" s="270"/>
      <c r="E17" s="277">
        <v>3000.0</v>
      </c>
      <c r="F17" s="270"/>
      <c r="G17" s="277">
        <v>3000.0</v>
      </c>
      <c r="H17" s="270"/>
      <c r="I17" s="277">
        <v>3000.0</v>
      </c>
      <c r="J17" s="270"/>
      <c r="K17" s="277">
        <v>3000.0</v>
      </c>
      <c r="L17" s="270"/>
      <c r="M17" s="277">
        <v>3000.0</v>
      </c>
      <c r="N17" s="270"/>
      <c r="O17" s="277">
        <v>3000.0</v>
      </c>
    </row>
    <row r="18">
      <c r="B18" s="268">
        <v>5.0</v>
      </c>
      <c r="C18" s="274" t="s">
        <v>178</v>
      </c>
      <c r="D18" s="270"/>
      <c r="E18" s="277">
        <v>1500.0</v>
      </c>
      <c r="F18" s="270"/>
      <c r="G18" s="277">
        <v>1500.0</v>
      </c>
      <c r="H18" s="270"/>
      <c r="I18" s="277">
        <v>1500.0</v>
      </c>
      <c r="J18" s="270"/>
      <c r="K18" s="277">
        <v>1500.0</v>
      </c>
      <c r="L18" s="270"/>
      <c r="M18" s="277">
        <v>1500.0</v>
      </c>
      <c r="N18" s="270"/>
      <c r="O18" s="277">
        <v>1500.0</v>
      </c>
    </row>
    <row r="19">
      <c r="B19" s="268">
        <v>6.0</v>
      </c>
      <c r="C19" s="274" t="s">
        <v>288</v>
      </c>
      <c r="D19" s="270"/>
      <c r="E19" s="277">
        <v>30.0</v>
      </c>
      <c r="F19" s="270"/>
      <c r="G19" s="277">
        <v>30.0</v>
      </c>
      <c r="H19" s="270"/>
      <c r="I19" s="277">
        <v>30.0</v>
      </c>
      <c r="J19" s="270"/>
      <c r="K19" s="277">
        <v>30.0</v>
      </c>
      <c r="L19" s="270"/>
      <c r="M19" s="277">
        <v>30.0</v>
      </c>
      <c r="N19" s="270"/>
      <c r="O19" s="277">
        <v>30.0</v>
      </c>
    </row>
    <row r="20">
      <c r="B20" s="268">
        <v>7.0</v>
      </c>
      <c r="C20" s="274" t="s">
        <v>180</v>
      </c>
      <c r="D20" s="270"/>
      <c r="E20" s="277">
        <v>1000.0</v>
      </c>
      <c r="F20" s="270"/>
      <c r="G20" s="277">
        <v>1000.0</v>
      </c>
      <c r="H20" s="270"/>
      <c r="I20" s="277">
        <v>1000.0</v>
      </c>
      <c r="J20" s="270"/>
      <c r="K20" s="277">
        <v>1000.0</v>
      </c>
      <c r="L20" s="270"/>
      <c r="M20" s="277">
        <v>1000.0</v>
      </c>
      <c r="N20" s="270"/>
      <c r="O20" s="277">
        <v>1000.0</v>
      </c>
    </row>
    <row r="21">
      <c r="B21" s="268">
        <v>8.0</v>
      </c>
      <c r="C21" s="274" t="s">
        <v>181</v>
      </c>
      <c r="D21" s="270"/>
      <c r="E21" s="277">
        <v>260.0</v>
      </c>
      <c r="F21" s="270"/>
      <c r="G21" s="277">
        <v>260.0</v>
      </c>
      <c r="H21" s="270"/>
      <c r="I21" s="277">
        <v>260.0</v>
      </c>
      <c r="J21" s="270"/>
      <c r="K21" s="277">
        <v>260.0</v>
      </c>
      <c r="L21" s="270"/>
      <c r="M21" s="277">
        <v>260.0</v>
      </c>
      <c r="N21" s="270"/>
      <c r="O21" s="277">
        <v>260.0</v>
      </c>
    </row>
    <row r="22">
      <c r="B22" s="268">
        <v>9.0</v>
      </c>
      <c r="C22" s="274" t="s">
        <v>182</v>
      </c>
      <c r="D22" s="270"/>
      <c r="E22" s="275"/>
      <c r="F22" s="270"/>
      <c r="G22" s="275"/>
      <c r="H22" s="270"/>
      <c r="I22" s="275"/>
      <c r="J22" s="270"/>
      <c r="K22" s="275"/>
      <c r="L22" s="270"/>
      <c r="M22" s="275"/>
      <c r="N22" s="270"/>
      <c r="O22" s="275"/>
    </row>
    <row r="23">
      <c r="B23" s="268">
        <v>10.0</v>
      </c>
      <c r="C23" s="274" t="s">
        <v>183</v>
      </c>
      <c r="D23" s="270"/>
      <c r="E23" s="275"/>
      <c r="F23" s="270"/>
      <c r="G23" s="275"/>
      <c r="H23" s="270"/>
      <c r="I23" s="275"/>
      <c r="J23" s="270"/>
      <c r="K23" s="275"/>
      <c r="L23" s="270"/>
      <c r="M23" s="275"/>
      <c r="N23" s="270"/>
      <c r="O23" s="275"/>
    </row>
    <row r="24">
      <c r="B24" s="268">
        <v>11.0</v>
      </c>
      <c r="C24" s="274" t="s">
        <v>184</v>
      </c>
      <c r="D24" s="270"/>
      <c r="E24" s="277">
        <v>700.0</v>
      </c>
      <c r="F24" s="270"/>
      <c r="G24" s="277">
        <v>700.0</v>
      </c>
      <c r="H24" s="270"/>
      <c r="I24" s="277">
        <v>700.0</v>
      </c>
      <c r="J24" s="270"/>
      <c r="K24" s="277">
        <v>700.0</v>
      </c>
      <c r="L24" s="270"/>
      <c r="M24" s="277">
        <v>700.0</v>
      </c>
      <c r="N24" s="270"/>
      <c r="O24" s="277">
        <v>700.0</v>
      </c>
    </row>
    <row r="25">
      <c r="B25" s="268">
        <v>12.0</v>
      </c>
      <c r="C25" s="274" t="s">
        <v>185</v>
      </c>
      <c r="D25" s="270"/>
      <c r="E25" s="277">
        <v>500.0</v>
      </c>
      <c r="F25" s="270"/>
      <c r="G25" s="277">
        <v>500.0</v>
      </c>
      <c r="H25" s="270"/>
      <c r="I25" s="277">
        <v>500.0</v>
      </c>
      <c r="J25" s="270"/>
      <c r="K25" s="277">
        <v>500.0</v>
      </c>
      <c r="L25" s="270"/>
      <c r="M25" s="277">
        <v>500.0</v>
      </c>
      <c r="N25" s="270"/>
      <c r="O25" s="277">
        <v>500.0</v>
      </c>
    </row>
    <row r="26">
      <c r="B26" s="268">
        <v>12.0</v>
      </c>
      <c r="C26" s="274" t="s">
        <v>186</v>
      </c>
      <c r="D26" s="270"/>
      <c r="E26" s="277">
        <v>1500.0</v>
      </c>
      <c r="F26" s="270"/>
      <c r="G26" s="277">
        <v>1500.0</v>
      </c>
      <c r="H26" s="270"/>
      <c r="I26" s="277">
        <v>1500.0</v>
      </c>
      <c r="J26" s="270"/>
      <c r="K26" s="277">
        <v>1500.0</v>
      </c>
      <c r="L26" s="270"/>
      <c r="M26" s="277">
        <v>1500.0</v>
      </c>
      <c r="N26" s="270"/>
      <c r="O26" s="277">
        <v>1500.0</v>
      </c>
    </row>
    <row r="27">
      <c r="B27" s="268">
        <v>13.0</v>
      </c>
      <c r="C27" s="274" t="s">
        <v>187</v>
      </c>
      <c r="D27" s="270"/>
      <c r="E27" s="277">
        <v>2600.0</v>
      </c>
      <c r="F27" s="270"/>
      <c r="G27" s="277">
        <v>2600.0</v>
      </c>
      <c r="H27" s="270"/>
      <c r="I27" s="277">
        <v>2600.0</v>
      </c>
      <c r="J27" s="270"/>
      <c r="K27" s="277">
        <v>2600.0</v>
      </c>
      <c r="L27" s="270"/>
      <c r="M27" s="277">
        <v>2600.0</v>
      </c>
      <c r="N27" s="270"/>
      <c r="O27" s="277">
        <v>2600.0</v>
      </c>
    </row>
    <row r="28">
      <c r="B28" s="268"/>
      <c r="C28" s="274"/>
      <c r="D28" s="270"/>
      <c r="E28" s="275"/>
      <c r="F28" s="270"/>
      <c r="G28" s="275"/>
      <c r="H28" s="270"/>
      <c r="I28" s="275"/>
      <c r="J28" s="270"/>
      <c r="K28" s="275"/>
      <c r="L28" s="270"/>
      <c r="M28" s="275"/>
      <c r="N28" s="270"/>
      <c r="O28" s="275"/>
    </row>
    <row r="29">
      <c r="B29" s="268"/>
      <c r="C29" s="289" t="s">
        <v>193</v>
      </c>
      <c r="D29" s="290"/>
      <c r="E29" s="267">
        <f>SUM(E30:E33)</f>
        <v>36733</v>
      </c>
      <c r="F29" s="290"/>
      <c r="G29" s="267">
        <f>SUM(G30:G33)</f>
        <v>36733</v>
      </c>
      <c r="H29" s="290"/>
      <c r="I29" s="267">
        <f>SUM(I30:I33)</f>
        <v>36733</v>
      </c>
      <c r="J29" s="290"/>
      <c r="K29" s="267">
        <f>SUM(K30:K33)</f>
        <v>36733</v>
      </c>
      <c r="L29" s="290"/>
      <c r="M29" s="267">
        <f>SUM(M30:M33)</f>
        <v>36733</v>
      </c>
      <c r="N29" s="290"/>
      <c r="O29" s="267">
        <f>SUM(O30:O33)</f>
        <v>36733</v>
      </c>
    </row>
    <row r="30">
      <c r="B30" s="268">
        <v>14.0</v>
      </c>
      <c r="C30" s="274" t="s">
        <v>195</v>
      </c>
      <c r="D30" s="290"/>
      <c r="E30" s="277">
        <v>35000.0</v>
      </c>
      <c r="F30" s="290"/>
      <c r="G30" s="277">
        <f>E30</f>
        <v>35000</v>
      </c>
      <c r="H30" s="290"/>
      <c r="I30" s="277">
        <f>G30</f>
        <v>35000</v>
      </c>
      <c r="J30" s="290"/>
      <c r="K30" s="277">
        <f>I30</f>
        <v>35000</v>
      </c>
      <c r="L30" s="290"/>
      <c r="M30" s="277">
        <f>K30</f>
        <v>35000</v>
      </c>
      <c r="N30" s="290"/>
      <c r="O30" s="277">
        <f>M30</f>
        <v>35000</v>
      </c>
    </row>
    <row r="31">
      <c r="B31" s="268">
        <v>15.0</v>
      </c>
      <c r="C31" s="274" t="s">
        <v>188</v>
      </c>
      <c r="D31" s="270"/>
      <c r="E31" s="277">
        <v>130.0</v>
      </c>
      <c r="F31" s="270"/>
      <c r="G31" s="277">
        <v>130.0</v>
      </c>
      <c r="H31" s="270"/>
      <c r="I31" s="277">
        <v>130.0</v>
      </c>
      <c r="J31" s="270"/>
      <c r="K31" s="277">
        <v>130.0</v>
      </c>
      <c r="L31" s="270"/>
      <c r="M31" s="277">
        <v>130.0</v>
      </c>
      <c r="N31" s="270"/>
      <c r="O31" s="277">
        <v>130.0</v>
      </c>
    </row>
    <row r="32">
      <c r="B32" s="268">
        <v>16.0</v>
      </c>
      <c r="C32" s="274" t="s">
        <v>189</v>
      </c>
      <c r="D32" s="270"/>
      <c r="E32" s="277">
        <v>800.0</v>
      </c>
      <c r="F32" s="270"/>
      <c r="G32" s="277">
        <v>800.0</v>
      </c>
      <c r="H32" s="270"/>
      <c r="I32" s="277">
        <v>800.0</v>
      </c>
      <c r="J32" s="270"/>
      <c r="K32" s="277">
        <v>800.0</v>
      </c>
      <c r="L32" s="270"/>
      <c r="M32" s="277">
        <v>800.0</v>
      </c>
      <c r="N32" s="270"/>
      <c r="O32" s="277">
        <v>800.0</v>
      </c>
    </row>
    <row r="33">
      <c r="B33" s="268">
        <v>17.0</v>
      </c>
      <c r="C33" s="274" t="s">
        <v>190</v>
      </c>
      <c r="D33" s="270"/>
      <c r="E33" s="277">
        <v>803.0</v>
      </c>
      <c r="F33" s="270"/>
      <c r="G33" s="277">
        <v>803.0</v>
      </c>
      <c r="H33" s="270"/>
      <c r="I33" s="277">
        <v>803.0</v>
      </c>
      <c r="J33" s="270"/>
      <c r="K33" s="277">
        <v>803.0</v>
      </c>
      <c r="L33" s="270"/>
      <c r="M33" s="277">
        <v>803.0</v>
      </c>
      <c r="N33" s="270"/>
      <c r="O33" s="277">
        <v>803.0</v>
      </c>
    </row>
    <row r="34">
      <c r="B34" s="268"/>
      <c r="C34" s="291"/>
      <c r="D34" s="292"/>
      <c r="E34" s="293"/>
      <c r="F34" s="292"/>
      <c r="G34" s="293"/>
      <c r="H34" s="294"/>
      <c r="I34" s="295"/>
      <c r="J34" s="294"/>
      <c r="K34" s="295"/>
      <c r="L34" s="294"/>
      <c r="M34" s="295"/>
      <c r="N34" s="294"/>
      <c r="O34" s="295"/>
    </row>
    <row r="35">
      <c r="B35" s="296"/>
      <c r="C35" s="297" t="s">
        <v>196</v>
      </c>
      <c r="D35" s="298"/>
      <c r="E35" s="299">
        <f>E29+E16+E12+E13+E14</f>
        <v>97723</v>
      </c>
      <c r="F35" s="298"/>
      <c r="G35" s="299">
        <f>G29+G16+G12+G13+G14</f>
        <v>93563</v>
      </c>
      <c r="H35" s="298"/>
      <c r="I35" s="299">
        <f>I29+I16+I12+I13+I14</f>
        <v>83963</v>
      </c>
      <c r="J35" s="298"/>
      <c r="K35" s="299">
        <f>K29+K16+K12+K13+K14</f>
        <v>84923</v>
      </c>
      <c r="L35" s="298"/>
      <c r="M35" s="299">
        <f>M29+M16+M12+M13+M14</f>
        <v>86523</v>
      </c>
      <c r="N35" s="298"/>
      <c r="O35" s="299">
        <f>O29+O16+O12+O13+O14</f>
        <v>101563</v>
      </c>
    </row>
    <row r="36" ht="6.0" customHeight="1"/>
    <row r="37">
      <c r="C37" s="300" t="s">
        <v>197</v>
      </c>
      <c r="E37" s="301">
        <v>96000.0</v>
      </c>
      <c r="G37" s="301">
        <v>103000.0</v>
      </c>
      <c r="I37" s="301">
        <v>82000.0</v>
      </c>
      <c r="K37" s="301">
        <v>83000.0</v>
      </c>
      <c r="M37" s="301">
        <v>85000.0</v>
      </c>
      <c r="O37" s="301"/>
    </row>
    <row r="38" ht="5.25" customHeight="1"/>
    <row r="39">
      <c r="C39" s="1" t="s">
        <v>89</v>
      </c>
      <c r="E39" s="302">
        <f>E37-E35</f>
        <v>-1723</v>
      </c>
      <c r="G39" s="302">
        <f>G37-G35</f>
        <v>9437</v>
      </c>
      <c r="I39" s="302">
        <f>I37-I35</f>
        <v>-1963</v>
      </c>
      <c r="K39" s="302">
        <f>K37-K35</f>
        <v>-1923</v>
      </c>
      <c r="M39" s="302">
        <f>M37-M35</f>
        <v>-1523</v>
      </c>
      <c r="O39" s="302"/>
    </row>
    <row r="41">
      <c r="C41" s="332" t="s">
        <v>289</v>
      </c>
      <c r="E41" s="328" t="s">
        <v>290</v>
      </c>
      <c r="G41" s="328" t="s">
        <v>290</v>
      </c>
      <c r="I41" s="328" t="s">
        <v>290</v>
      </c>
      <c r="K41" s="328" t="s">
        <v>290</v>
      </c>
      <c r="M41" s="328" t="s">
        <v>290</v>
      </c>
      <c r="O41" s="328"/>
    </row>
    <row r="42">
      <c r="C42" s="332" t="s">
        <v>291</v>
      </c>
      <c r="E42" s="328" t="s">
        <v>292</v>
      </c>
      <c r="G42" s="328" t="s">
        <v>292</v>
      </c>
      <c r="I42" s="328" t="s">
        <v>292</v>
      </c>
      <c r="K42" s="328" t="s">
        <v>292</v>
      </c>
      <c r="M42" s="328" t="s">
        <v>292</v>
      </c>
      <c r="O42" s="328"/>
    </row>
    <row r="43">
      <c r="C43" s="332" t="s">
        <v>293</v>
      </c>
      <c r="E43" s="328" t="s">
        <v>294</v>
      </c>
      <c r="G43" s="328" t="s">
        <v>294</v>
      </c>
      <c r="I43" s="328" t="s">
        <v>294</v>
      </c>
      <c r="K43" s="328" t="s">
        <v>294</v>
      </c>
      <c r="M43" s="328" t="s">
        <v>294</v>
      </c>
      <c r="O43" s="328"/>
    </row>
  </sheetData>
  <mergeCells count="23">
    <mergeCell ref="L7:M7"/>
    <mergeCell ref="N7:O7"/>
    <mergeCell ref="B2:M2"/>
    <mergeCell ref="B3:M3"/>
    <mergeCell ref="B4:M4"/>
    <mergeCell ref="B5:M5"/>
    <mergeCell ref="D7:G7"/>
    <mergeCell ref="H7:I7"/>
    <mergeCell ref="J7:K7"/>
    <mergeCell ref="D8:E8"/>
    <mergeCell ref="D9:E9"/>
    <mergeCell ref="F9:G9"/>
    <mergeCell ref="H9:I9"/>
    <mergeCell ref="J9:K9"/>
    <mergeCell ref="L9:M9"/>
    <mergeCell ref="F8:G8"/>
    <mergeCell ref="H8:I8"/>
    <mergeCell ref="J8:K8"/>
    <mergeCell ref="L8:M8"/>
    <mergeCell ref="N8:O8"/>
    <mergeCell ref="B9:B11"/>
    <mergeCell ref="C9:C11"/>
    <mergeCell ref="N9:O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75"/>
  <cols>
    <col customWidth="1" min="1" max="1" width="2.71"/>
    <col customWidth="1" min="2" max="2" width="7.57"/>
    <col customWidth="1" min="3" max="3" width="21.57"/>
    <col customWidth="1" min="4" max="4" width="21.0"/>
    <col customWidth="1" min="5" max="5" width="20.86"/>
    <col customWidth="1" min="6" max="6" width="35.29"/>
    <col customWidth="1" min="7" max="7" width="21.57"/>
    <col customWidth="1" min="8" max="8" width="18.86"/>
    <col customWidth="1" min="9" max="9" width="2.71"/>
  </cols>
  <sheetData>
    <row r="1" ht="21.0" customHeight="1">
      <c r="A1" s="410"/>
      <c r="B1" s="410"/>
      <c r="C1" s="410"/>
      <c r="E1" s="411"/>
      <c r="F1" s="412"/>
      <c r="G1" s="413"/>
      <c r="H1" s="414"/>
      <c r="I1" s="415"/>
    </row>
    <row r="2">
      <c r="A2" s="410"/>
      <c r="B2" s="410"/>
      <c r="C2" s="410"/>
      <c r="E2" s="416" t="s">
        <v>295</v>
      </c>
      <c r="F2" s="412"/>
      <c r="G2" s="413"/>
      <c r="H2" s="414"/>
      <c r="I2" s="415"/>
    </row>
    <row r="3">
      <c r="A3" s="410"/>
      <c r="B3" s="410"/>
      <c r="C3" s="410"/>
      <c r="E3" s="417" t="s">
        <v>296</v>
      </c>
      <c r="F3" s="415"/>
      <c r="G3" s="418"/>
      <c r="H3" s="414"/>
      <c r="I3" s="412"/>
    </row>
    <row r="4">
      <c r="A4" s="410"/>
      <c r="B4" s="410"/>
      <c r="C4" s="410"/>
      <c r="E4" s="419" t="s">
        <v>297</v>
      </c>
      <c r="F4" s="415"/>
      <c r="G4" s="418"/>
      <c r="H4" s="414"/>
      <c r="I4" s="412"/>
    </row>
    <row r="5" ht="18.0" customHeight="1">
      <c r="A5" s="410"/>
      <c r="B5" s="410"/>
      <c r="C5" s="410"/>
      <c r="D5" s="410"/>
      <c r="E5" s="410"/>
      <c r="F5" s="410"/>
      <c r="G5" s="420"/>
      <c r="H5" s="421"/>
      <c r="I5" s="410"/>
    </row>
    <row r="6" ht="18.0" customHeight="1">
      <c r="A6" s="410"/>
      <c r="B6" s="410"/>
      <c r="C6" s="410"/>
      <c r="D6" s="410"/>
      <c r="E6" s="410"/>
      <c r="F6" s="410"/>
      <c r="G6" s="420"/>
      <c r="H6" s="421"/>
      <c r="I6" s="410"/>
    </row>
    <row r="7" ht="50.25" customHeight="1">
      <c r="A7" s="422"/>
      <c r="B7" s="423" t="s">
        <v>298</v>
      </c>
      <c r="I7" s="422"/>
    </row>
    <row r="8" ht="50.25" customHeight="1">
      <c r="A8" s="422"/>
      <c r="B8" s="424" t="s">
        <v>299</v>
      </c>
      <c r="I8" s="422"/>
    </row>
    <row r="9" ht="18.0" customHeight="1">
      <c r="A9" s="422"/>
      <c r="B9" s="425" t="s">
        <v>300</v>
      </c>
      <c r="C9" s="426"/>
      <c r="D9" s="426"/>
      <c r="E9" s="426"/>
      <c r="F9" s="426"/>
      <c r="G9" s="426"/>
      <c r="H9" s="427"/>
      <c r="I9" s="422"/>
    </row>
    <row r="10" ht="18.0" customHeight="1">
      <c r="A10" s="422"/>
      <c r="B10" s="428">
        <v>1.0</v>
      </c>
      <c r="C10" s="422" t="s">
        <v>301</v>
      </c>
      <c r="D10" s="422"/>
      <c r="E10" s="422"/>
      <c r="F10" s="422"/>
      <c r="G10" s="429">
        <v>135000.0</v>
      </c>
      <c r="H10" s="430" t="s">
        <v>302</v>
      </c>
      <c r="I10" s="422"/>
    </row>
    <row r="11" ht="18.0" customHeight="1">
      <c r="A11" s="422"/>
      <c r="B11" s="428">
        <v>2.0</v>
      </c>
      <c r="C11" s="422" t="s">
        <v>303</v>
      </c>
      <c r="D11" s="422"/>
      <c r="E11" s="422"/>
      <c r="F11" s="422"/>
      <c r="G11" s="429">
        <v>140000.0</v>
      </c>
      <c r="H11" s="430" t="s">
        <v>302</v>
      </c>
      <c r="I11" s="422"/>
    </row>
    <row r="12" ht="18.0" customHeight="1">
      <c r="A12" s="422"/>
      <c r="B12" s="428">
        <v>3.0</v>
      </c>
      <c r="C12" s="422" t="s">
        <v>304</v>
      </c>
      <c r="D12" s="422"/>
      <c r="E12" s="422"/>
      <c r="F12" s="422"/>
      <c r="G12" s="429">
        <v>155000.0</v>
      </c>
      <c r="H12" s="430" t="s">
        <v>302</v>
      </c>
      <c r="I12" s="422"/>
    </row>
    <row r="13" ht="18.0" customHeight="1">
      <c r="A13" s="422"/>
      <c r="B13" s="428">
        <v>4.0</v>
      </c>
      <c r="C13" s="422" t="s">
        <v>305</v>
      </c>
      <c r="D13" s="422"/>
      <c r="E13" s="422"/>
      <c r="F13" s="422"/>
      <c r="G13" s="429">
        <v>160000.0</v>
      </c>
      <c r="H13" s="430" t="s">
        <v>302</v>
      </c>
      <c r="I13" s="422"/>
    </row>
    <row r="14" ht="18.0" customHeight="1">
      <c r="A14" s="422"/>
      <c r="B14" s="428">
        <v>5.0</v>
      </c>
      <c r="C14" s="422" t="s">
        <v>306</v>
      </c>
      <c r="D14" s="422"/>
      <c r="E14" s="422"/>
      <c r="F14" s="422"/>
      <c r="G14" s="429">
        <v>165000.0</v>
      </c>
      <c r="H14" s="430" t="s">
        <v>302</v>
      </c>
      <c r="I14" s="422"/>
    </row>
    <row r="15" ht="18.0" customHeight="1">
      <c r="A15" s="422"/>
      <c r="B15" s="428">
        <v>6.0</v>
      </c>
      <c r="C15" s="422" t="s">
        <v>307</v>
      </c>
      <c r="D15" s="422"/>
      <c r="E15" s="422"/>
      <c r="F15" s="422"/>
      <c r="G15" s="429">
        <v>145000.0</v>
      </c>
      <c r="H15" s="430" t="s">
        <v>302</v>
      </c>
      <c r="I15" s="422"/>
    </row>
    <row r="16" ht="18.0" customHeight="1">
      <c r="A16" s="422"/>
      <c r="B16" s="428"/>
      <c r="C16" s="431" t="s">
        <v>308</v>
      </c>
      <c r="D16" s="432"/>
      <c r="E16" s="422"/>
      <c r="F16" s="422"/>
      <c r="G16" s="429"/>
      <c r="H16" s="430"/>
      <c r="I16" s="422"/>
    </row>
    <row r="17" ht="18.0" customHeight="1">
      <c r="A17" s="371"/>
      <c r="B17" s="433"/>
      <c r="C17" s="434" t="s">
        <v>309</v>
      </c>
      <c r="D17" s="435"/>
      <c r="E17" s="371"/>
      <c r="F17" s="371"/>
      <c r="G17" s="429">
        <v>500.0</v>
      </c>
      <c r="H17" s="430" t="s">
        <v>302</v>
      </c>
      <c r="I17" s="371"/>
    </row>
    <row r="18" ht="18.0" customHeight="1">
      <c r="A18" s="371"/>
      <c r="B18" s="433"/>
      <c r="C18" s="436" t="s">
        <v>310</v>
      </c>
      <c r="D18" s="435"/>
      <c r="E18" s="371"/>
      <c r="F18" s="371"/>
      <c r="G18" s="429"/>
      <c r="H18" s="430"/>
      <c r="I18" s="371"/>
    </row>
    <row r="19" ht="18.0" customHeight="1">
      <c r="A19" s="371"/>
      <c r="B19" s="433"/>
      <c r="C19" s="434" t="s">
        <v>311</v>
      </c>
      <c r="D19" s="435"/>
      <c r="E19" s="371"/>
      <c r="F19" s="371"/>
      <c r="G19" s="429">
        <v>800.0</v>
      </c>
      <c r="H19" s="430" t="s">
        <v>302</v>
      </c>
      <c r="I19" s="371"/>
    </row>
    <row r="20" ht="18.0" customHeight="1">
      <c r="A20" s="371"/>
      <c r="B20" s="433"/>
      <c r="C20" s="436" t="s">
        <v>312</v>
      </c>
      <c r="D20" s="435"/>
      <c r="E20" s="371"/>
      <c r="F20" s="371"/>
      <c r="G20" s="429"/>
      <c r="H20" s="430"/>
      <c r="I20" s="371"/>
    </row>
    <row r="21" ht="18.0" customHeight="1">
      <c r="A21" s="371"/>
      <c r="B21" s="433"/>
      <c r="C21" s="434" t="s">
        <v>313</v>
      </c>
      <c r="D21" s="435"/>
      <c r="E21" s="371"/>
      <c r="F21" s="371"/>
      <c r="G21" s="429">
        <v>3000.0</v>
      </c>
      <c r="H21" s="430" t="s">
        <v>302</v>
      </c>
      <c r="I21" s="371"/>
    </row>
    <row r="22" ht="18.0" customHeight="1">
      <c r="A22" s="371"/>
      <c r="B22" s="433"/>
      <c r="C22" s="436" t="s">
        <v>314</v>
      </c>
      <c r="D22" s="435"/>
      <c r="E22" s="371"/>
      <c r="F22" s="371"/>
      <c r="G22" s="429"/>
      <c r="H22" s="430"/>
      <c r="I22" s="371"/>
    </row>
    <row r="23" ht="18.0" customHeight="1">
      <c r="A23" s="422"/>
      <c r="B23" s="437"/>
      <c r="C23" s="438"/>
      <c r="D23" s="438"/>
      <c r="E23" s="438"/>
      <c r="F23" s="438"/>
      <c r="G23" s="439"/>
      <c r="H23" s="440"/>
      <c r="I23" s="422"/>
    </row>
    <row r="24" ht="18.0" customHeight="1">
      <c r="A24" s="422"/>
      <c r="B24" s="441"/>
      <c r="C24" s="422"/>
      <c r="D24" s="422"/>
      <c r="E24" s="422"/>
      <c r="F24" s="422"/>
      <c r="G24" s="429"/>
      <c r="H24" s="442"/>
      <c r="I24" s="443" t="s">
        <v>315</v>
      </c>
    </row>
    <row r="25" ht="18.0" customHeight="1">
      <c r="A25" s="422"/>
      <c r="B25" s="425" t="s">
        <v>316</v>
      </c>
      <c r="C25" s="426"/>
      <c r="D25" s="426"/>
      <c r="E25" s="426"/>
      <c r="F25" s="426"/>
      <c r="G25" s="426"/>
      <c r="H25" s="427"/>
      <c r="I25" s="422"/>
    </row>
    <row r="26" ht="18.0" customHeight="1">
      <c r="A26" s="422"/>
      <c r="B26" s="428">
        <v>1.0</v>
      </c>
      <c r="C26" s="422" t="s">
        <v>317</v>
      </c>
      <c r="D26" s="422"/>
      <c r="E26" s="422"/>
      <c r="F26" s="422"/>
      <c r="G26" s="429">
        <v>140000.0</v>
      </c>
      <c r="H26" s="430" t="s">
        <v>302</v>
      </c>
      <c r="I26" s="422"/>
    </row>
    <row r="27" ht="18.0" customHeight="1">
      <c r="A27" s="422"/>
      <c r="B27" s="428">
        <v>2.0</v>
      </c>
      <c r="C27" s="422" t="s">
        <v>318</v>
      </c>
      <c r="D27" s="422"/>
      <c r="E27" s="422"/>
      <c r="F27" s="422"/>
      <c r="G27" s="429">
        <v>155000.0</v>
      </c>
      <c r="H27" s="430" t="s">
        <v>302</v>
      </c>
      <c r="I27" s="422"/>
    </row>
    <row r="28" ht="18.0" customHeight="1">
      <c r="A28" s="422"/>
      <c r="B28" s="428"/>
      <c r="C28" s="422"/>
      <c r="D28" s="422"/>
      <c r="E28" s="422"/>
      <c r="F28" s="422"/>
      <c r="G28" s="429"/>
      <c r="H28" s="430"/>
      <c r="I28" s="422"/>
    </row>
    <row r="29" ht="18.0" customHeight="1">
      <c r="A29" s="422"/>
      <c r="B29" s="428"/>
      <c r="C29" s="444" t="s">
        <v>308</v>
      </c>
      <c r="D29" s="422"/>
      <c r="E29" s="422"/>
      <c r="F29" s="422"/>
      <c r="G29" s="429"/>
      <c r="H29" s="430"/>
      <c r="I29" s="422"/>
    </row>
    <row r="30" ht="18.0" customHeight="1">
      <c r="A30" s="371"/>
      <c r="B30" s="433"/>
      <c r="C30" s="434" t="s">
        <v>319</v>
      </c>
      <c r="D30" s="371"/>
      <c r="E30" s="371"/>
      <c r="F30" s="371"/>
      <c r="G30" s="429">
        <v>500.0</v>
      </c>
      <c r="H30" s="430" t="s">
        <v>302</v>
      </c>
      <c r="I30" s="371"/>
    </row>
    <row r="31" ht="18.0" customHeight="1">
      <c r="A31" s="371"/>
      <c r="B31" s="433"/>
      <c r="C31" s="436" t="s">
        <v>320</v>
      </c>
      <c r="D31" s="371"/>
      <c r="E31" s="371"/>
      <c r="F31" s="371"/>
      <c r="G31" s="429"/>
      <c r="H31" s="430"/>
      <c r="I31" s="371"/>
    </row>
    <row r="32" ht="18.0" customHeight="1">
      <c r="A32" s="371"/>
      <c r="B32" s="433"/>
      <c r="C32" s="434" t="s">
        <v>321</v>
      </c>
      <c r="D32" s="371"/>
      <c r="E32" s="371"/>
      <c r="F32" s="371"/>
      <c r="G32" s="429">
        <v>800.0</v>
      </c>
      <c r="H32" s="430" t="s">
        <v>302</v>
      </c>
      <c r="I32" s="371"/>
    </row>
    <row r="33" ht="18.0" customHeight="1">
      <c r="A33" s="371"/>
      <c r="B33" s="433"/>
      <c r="C33" s="436" t="s">
        <v>322</v>
      </c>
      <c r="D33" s="371"/>
      <c r="E33" s="371"/>
      <c r="F33" s="371"/>
      <c r="G33" s="429"/>
      <c r="H33" s="430"/>
      <c r="I33" s="371"/>
    </row>
    <row r="34" ht="18.0" customHeight="1">
      <c r="A34" s="371"/>
      <c r="B34" s="433"/>
      <c r="C34" s="434" t="s">
        <v>323</v>
      </c>
      <c r="D34" s="371"/>
      <c r="E34" s="371"/>
      <c r="F34" s="371"/>
      <c r="G34" s="429">
        <v>3000.0</v>
      </c>
      <c r="H34" s="430" t="s">
        <v>302</v>
      </c>
      <c r="I34" s="371"/>
    </row>
    <row r="35" ht="18.0" customHeight="1">
      <c r="A35" s="371"/>
      <c r="B35" s="433"/>
      <c r="C35" s="436" t="s">
        <v>314</v>
      </c>
      <c r="D35" s="371"/>
      <c r="E35" s="371"/>
      <c r="F35" s="371"/>
      <c r="G35" s="429"/>
      <c r="H35" s="430"/>
      <c r="I35" s="371"/>
    </row>
    <row r="36" ht="18.0" customHeight="1">
      <c r="A36" s="422"/>
      <c r="B36" s="428"/>
      <c r="C36" s="434" t="s">
        <v>324</v>
      </c>
      <c r="D36" s="422"/>
      <c r="E36" s="422"/>
      <c r="F36" s="422"/>
      <c r="G36" s="429">
        <v>3000.0</v>
      </c>
      <c r="H36" s="430" t="s">
        <v>302</v>
      </c>
      <c r="I36" s="422"/>
    </row>
    <row r="37" ht="18.0" customHeight="1">
      <c r="A37" s="422"/>
      <c r="B37" s="428"/>
      <c r="C37" s="436" t="s">
        <v>325</v>
      </c>
      <c r="D37" s="422"/>
      <c r="E37" s="422"/>
      <c r="F37" s="422"/>
      <c r="G37" s="429"/>
      <c r="H37" s="430"/>
      <c r="I37" s="422"/>
    </row>
    <row r="38" ht="18.0" customHeight="1">
      <c r="A38" s="422"/>
      <c r="B38" s="437"/>
      <c r="C38" s="438"/>
      <c r="D38" s="438"/>
      <c r="E38" s="438"/>
      <c r="F38" s="438"/>
      <c r="G38" s="439"/>
      <c r="H38" s="440"/>
      <c r="I38" s="422"/>
    </row>
    <row r="39" ht="30.0" customHeight="1">
      <c r="A39" s="422"/>
      <c r="B39" s="441"/>
      <c r="C39" s="422"/>
      <c r="D39" s="422"/>
      <c r="E39" s="422"/>
      <c r="F39" s="422"/>
      <c r="G39" s="429"/>
      <c r="H39" s="442"/>
      <c r="I39" s="422"/>
    </row>
  </sheetData>
  <mergeCells count="4">
    <mergeCell ref="B7:H7"/>
    <mergeCell ref="B8:H8"/>
    <mergeCell ref="B9:H9"/>
    <mergeCell ref="B25:H25"/>
  </mergeCells>
  <printOptions horizontalCentered="1"/>
  <pageMargins bottom="1.1551272779130295" footer="0.0" header="0.0" left="0.03937007874015748" right="0.03937007874015748" top="0.03937007874015748"/>
  <pageSetup fitToHeight="0"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75"/>
  <cols>
    <col customWidth="1" min="1" max="1" width="2.71"/>
    <col customWidth="1" min="2" max="2" width="7.57"/>
    <col customWidth="1" min="3" max="3" width="21.57"/>
    <col customWidth="1" min="4" max="4" width="21.0"/>
    <col customWidth="1" min="5" max="5" width="20.86"/>
    <col customWidth="1" min="6" max="6" width="35.29"/>
    <col customWidth="1" min="7" max="7" width="21.57"/>
    <col customWidth="1" min="8" max="8" width="18.86"/>
    <col customWidth="1" min="9" max="9" width="2.71"/>
  </cols>
  <sheetData>
    <row r="1" ht="21.0" customHeight="1">
      <c r="A1" s="410"/>
      <c r="B1" s="410"/>
      <c r="C1" s="410"/>
      <c r="E1" s="411"/>
      <c r="F1" s="412"/>
      <c r="G1" s="413"/>
      <c r="H1" s="414"/>
      <c r="I1" s="415"/>
    </row>
    <row r="2">
      <c r="A2" s="410"/>
      <c r="B2" s="410"/>
      <c r="C2" s="410"/>
      <c r="E2" s="416" t="s">
        <v>295</v>
      </c>
      <c r="F2" s="412"/>
      <c r="G2" s="413"/>
      <c r="H2" s="414"/>
      <c r="I2" s="415"/>
    </row>
    <row r="3">
      <c r="A3" s="410"/>
      <c r="B3" s="410"/>
      <c r="C3" s="410"/>
      <c r="E3" s="417" t="s">
        <v>296</v>
      </c>
      <c r="F3" s="415"/>
      <c r="G3" s="418"/>
      <c r="H3" s="414"/>
      <c r="I3" s="412"/>
    </row>
    <row r="4">
      <c r="A4" s="410"/>
      <c r="B4" s="410"/>
      <c r="C4" s="410"/>
      <c r="E4" s="419" t="s">
        <v>297</v>
      </c>
      <c r="F4" s="415"/>
      <c r="G4" s="418"/>
      <c r="H4" s="414"/>
      <c r="I4" s="412"/>
    </row>
    <row r="5" ht="18.0" customHeight="1">
      <c r="A5" s="410"/>
      <c r="B5" s="410"/>
      <c r="C5" s="410"/>
      <c r="D5" s="410"/>
      <c r="E5" s="410"/>
      <c r="F5" s="410"/>
      <c r="G5" s="420"/>
      <c r="H5" s="421"/>
      <c r="I5" s="410"/>
    </row>
    <row r="6" ht="18.0" customHeight="1">
      <c r="A6" s="410"/>
      <c r="B6" s="410"/>
      <c r="C6" s="410"/>
      <c r="D6" s="410"/>
      <c r="E6" s="410"/>
      <c r="F6" s="410"/>
      <c r="G6" s="420"/>
      <c r="H6" s="421"/>
      <c r="I6" s="410"/>
    </row>
    <row r="7" ht="30.0" customHeight="1">
      <c r="A7" s="422"/>
      <c r="B7" s="441"/>
      <c r="C7" s="422"/>
      <c r="D7" s="422"/>
      <c r="E7" s="422"/>
      <c r="F7" s="422"/>
      <c r="G7" s="429"/>
      <c r="H7" s="442"/>
      <c r="I7" s="422"/>
    </row>
    <row r="8" ht="18.0" customHeight="1">
      <c r="A8" s="422"/>
      <c r="B8" s="423" t="s">
        <v>298</v>
      </c>
      <c r="I8" s="422"/>
    </row>
    <row r="9" ht="18.0" customHeight="1">
      <c r="A9" s="422"/>
      <c r="B9" s="424" t="s">
        <v>299</v>
      </c>
      <c r="I9" s="422"/>
    </row>
    <row r="10" ht="18.0" customHeight="1">
      <c r="A10" s="422"/>
      <c r="B10" s="445"/>
      <c r="C10" s="445"/>
      <c r="D10" s="445"/>
      <c r="E10" s="445"/>
      <c r="F10" s="445"/>
      <c r="G10" s="445"/>
      <c r="H10" s="445"/>
      <c r="I10" s="422"/>
    </row>
    <row r="11" ht="18.0" customHeight="1">
      <c r="A11" s="422"/>
      <c r="B11" s="446" t="s">
        <v>326</v>
      </c>
      <c r="C11" s="426"/>
      <c r="D11" s="426"/>
      <c r="E11" s="426"/>
      <c r="F11" s="426"/>
      <c r="G11" s="426"/>
      <c r="H11" s="427"/>
      <c r="I11" s="422"/>
    </row>
    <row r="12" ht="18.0" customHeight="1">
      <c r="A12" s="422"/>
      <c r="B12" s="428">
        <v>1.0</v>
      </c>
      <c r="C12" s="443" t="s">
        <v>327</v>
      </c>
      <c r="D12" s="422"/>
      <c r="E12" s="422"/>
      <c r="F12" s="422"/>
      <c r="G12" s="429">
        <v>80000.0</v>
      </c>
      <c r="H12" s="430" t="s">
        <v>302</v>
      </c>
      <c r="I12" s="422"/>
    </row>
    <row r="13" ht="18.0" customHeight="1">
      <c r="A13" s="422"/>
      <c r="B13" s="428">
        <v>2.0</v>
      </c>
      <c r="C13" s="443" t="s">
        <v>328</v>
      </c>
      <c r="D13" s="422"/>
      <c r="E13" s="422"/>
      <c r="F13" s="422"/>
      <c r="G13" s="429">
        <v>100000.0</v>
      </c>
      <c r="H13" s="430" t="s">
        <v>302</v>
      </c>
      <c r="I13" s="422"/>
    </row>
    <row r="14" ht="18.0" customHeight="1">
      <c r="A14" s="422"/>
      <c r="B14" s="428">
        <v>3.0</v>
      </c>
      <c r="C14" s="447" t="s">
        <v>329</v>
      </c>
      <c r="F14" s="422"/>
      <c r="G14" s="429">
        <v>105000.0</v>
      </c>
      <c r="H14" s="430" t="s">
        <v>302</v>
      </c>
      <c r="I14" s="422"/>
    </row>
    <row r="15" ht="18.0" customHeight="1">
      <c r="A15" s="422"/>
      <c r="B15" s="428">
        <v>4.0</v>
      </c>
      <c r="C15" s="447" t="s">
        <v>330</v>
      </c>
      <c r="D15" s="448"/>
      <c r="E15" s="448"/>
      <c r="F15" s="422"/>
      <c r="G15" s="429">
        <v>110000.0</v>
      </c>
      <c r="H15" s="430" t="s">
        <v>302</v>
      </c>
      <c r="I15" s="422"/>
    </row>
    <row r="16" ht="18.0" customHeight="1">
      <c r="A16" s="422"/>
      <c r="B16" s="428"/>
      <c r="C16" s="449" t="s">
        <v>308</v>
      </c>
      <c r="D16" s="422"/>
      <c r="E16" s="422"/>
      <c r="F16" s="422"/>
      <c r="G16" s="429"/>
      <c r="H16" s="430"/>
      <c r="I16" s="422"/>
    </row>
    <row r="17" ht="18.0" customHeight="1">
      <c r="A17" s="422"/>
      <c r="B17" s="433"/>
      <c r="C17" s="434" t="s">
        <v>319</v>
      </c>
      <c r="D17" s="371"/>
      <c r="E17" s="371"/>
      <c r="F17" s="371"/>
      <c r="G17" s="429">
        <v>500.0</v>
      </c>
      <c r="H17" s="430" t="s">
        <v>302</v>
      </c>
      <c r="I17" s="422"/>
    </row>
    <row r="18" ht="18.0" customHeight="1">
      <c r="A18" s="422"/>
      <c r="B18" s="433"/>
      <c r="C18" s="436" t="s">
        <v>331</v>
      </c>
      <c r="D18" s="371"/>
      <c r="E18" s="371"/>
      <c r="F18" s="371"/>
      <c r="G18" s="429"/>
      <c r="H18" s="430"/>
      <c r="I18" s="422"/>
    </row>
    <row r="19" ht="18.0" customHeight="1">
      <c r="A19" s="422"/>
      <c r="B19" s="433"/>
      <c r="C19" s="434" t="s">
        <v>321</v>
      </c>
      <c r="D19" s="371"/>
      <c r="E19" s="371"/>
      <c r="F19" s="371"/>
      <c r="G19" s="429">
        <v>800.0</v>
      </c>
      <c r="H19" s="430" t="s">
        <v>302</v>
      </c>
      <c r="I19" s="422"/>
    </row>
    <row r="20" ht="18.0" customHeight="1">
      <c r="A20" s="422"/>
      <c r="B20" s="433"/>
      <c r="C20" s="436" t="s">
        <v>332</v>
      </c>
      <c r="D20" s="371"/>
      <c r="E20" s="371"/>
      <c r="F20" s="371"/>
      <c r="G20" s="429"/>
      <c r="H20" s="430"/>
      <c r="I20" s="422"/>
    </row>
    <row r="21" ht="18.0" customHeight="1">
      <c r="A21" s="422"/>
      <c r="B21" s="433"/>
      <c r="C21" s="434" t="s">
        <v>333</v>
      </c>
      <c r="D21" s="371"/>
      <c r="E21" s="371"/>
      <c r="F21" s="371"/>
      <c r="G21" s="429">
        <v>3000.0</v>
      </c>
      <c r="H21" s="430" t="s">
        <v>302</v>
      </c>
      <c r="I21" s="422"/>
    </row>
    <row r="22" ht="18.0" customHeight="1">
      <c r="A22" s="422"/>
      <c r="B22" s="433"/>
      <c r="C22" s="436" t="s">
        <v>334</v>
      </c>
      <c r="D22" s="371"/>
      <c r="E22" s="371"/>
      <c r="F22" s="371"/>
      <c r="G22" s="429"/>
      <c r="H22" s="430"/>
      <c r="I22" s="422"/>
    </row>
    <row r="23" ht="18.0" customHeight="1">
      <c r="A23" s="422"/>
      <c r="B23" s="437"/>
      <c r="C23" s="438"/>
      <c r="D23" s="438"/>
      <c r="E23" s="438"/>
      <c r="F23" s="438"/>
      <c r="G23" s="439"/>
      <c r="H23" s="440"/>
      <c r="I23" s="422"/>
    </row>
    <row r="24" ht="12.0" customHeight="1">
      <c r="A24" s="422"/>
      <c r="B24" s="441"/>
      <c r="C24" s="422"/>
      <c r="D24" s="422"/>
      <c r="E24" s="422"/>
      <c r="F24" s="422"/>
      <c r="G24" s="429"/>
      <c r="H24" s="442"/>
      <c r="I24" s="422"/>
    </row>
    <row r="25" ht="12.75" customHeight="1">
      <c r="A25" s="422"/>
      <c r="B25" s="422"/>
      <c r="C25" s="422"/>
      <c r="D25" s="422"/>
      <c r="E25" s="422"/>
      <c r="F25" s="422"/>
      <c r="G25" s="450"/>
      <c r="H25" s="371"/>
      <c r="I25" s="422"/>
    </row>
    <row r="26" ht="50.25" customHeight="1">
      <c r="A26" s="422"/>
      <c r="B26" s="424" t="s">
        <v>335</v>
      </c>
      <c r="I26" s="422"/>
    </row>
    <row r="27">
      <c r="A27" s="422"/>
      <c r="B27" s="422"/>
      <c r="C27" s="370" t="s">
        <v>254</v>
      </c>
      <c r="D27" s="422"/>
      <c r="E27" s="422"/>
      <c r="F27" s="422"/>
      <c r="G27" s="450"/>
      <c r="H27" s="371"/>
      <c r="I27" s="422"/>
    </row>
    <row r="28">
      <c r="A28" s="410"/>
      <c r="B28" s="410"/>
      <c r="C28" s="370" t="s">
        <v>255</v>
      </c>
      <c r="D28" s="410"/>
      <c r="E28" s="410"/>
      <c r="F28" s="410"/>
      <c r="G28" s="420"/>
      <c r="H28" s="421"/>
      <c r="I28" s="410"/>
    </row>
    <row r="29" ht="12.75" customHeight="1">
      <c r="A29" s="410"/>
      <c r="B29" s="410"/>
      <c r="C29" s="371"/>
      <c r="D29" s="410"/>
      <c r="E29" s="410"/>
      <c r="F29" s="410"/>
      <c r="G29" s="420"/>
      <c r="H29" s="421"/>
      <c r="I29" s="410"/>
    </row>
    <row r="30">
      <c r="A30" s="410"/>
      <c r="B30" s="410"/>
      <c r="C30" s="370" t="s">
        <v>256</v>
      </c>
      <c r="D30" s="410"/>
      <c r="E30" s="410"/>
      <c r="F30" s="410"/>
      <c r="G30" s="420"/>
      <c r="H30" s="421"/>
      <c r="I30" s="410"/>
    </row>
    <row r="31">
      <c r="A31" s="410"/>
      <c r="B31" s="410"/>
      <c r="C31" s="371"/>
      <c r="D31" s="410"/>
      <c r="E31" s="410"/>
      <c r="F31" s="410"/>
      <c r="G31" s="420"/>
      <c r="H31" s="421"/>
      <c r="I31" s="410"/>
    </row>
    <row r="32">
      <c r="A32" s="410"/>
      <c r="B32" s="410"/>
      <c r="C32" s="370" t="s">
        <v>257</v>
      </c>
      <c r="D32" s="410"/>
      <c r="E32" s="410"/>
      <c r="F32" s="410"/>
      <c r="G32" s="420"/>
      <c r="H32" s="421"/>
      <c r="I32" s="410"/>
    </row>
    <row r="33">
      <c r="A33" s="410"/>
      <c r="B33" s="410"/>
      <c r="C33" s="370" t="s">
        <v>258</v>
      </c>
      <c r="D33" s="410"/>
      <c r="E33" s="410"/>
      <c r="F33" s="410"/>
      <c r="G33" s="420"/>
      <c r="H33" s="421"/>
      <c r="I33" s="410"/>
    </row>
    <row r="34">
      <c r="A34" s="410"/>
      <c r="B34" s="410"/>
      <c r="C34" s="370" t="s">
        <v>259</v>
      </c>
      <c r="D34" s="410"/>
      <c r="E34" s="410"/>
      <c r="F34" s="410"/>
      <c r="G34" s="420"/>
      <c r="H34" s="421"/>
      <c r="I34" s="410"/>
    </row>
    <row r="35" ht="12.75" customHeight="1">
      <c r="A35" s="410"/>
      <c r="B35" s="410"/>
      <c r="C35" s="371"/>
      <c r="D35" s="410"/>
      <c r="E35" s="410"/>
      <c r="F35" s="410"/>
      <c r="G35" s="420"/>
      <c r="H35" s="421"/>
      <c r="I35" s="410"/>
    </row>
    <row r="36">
      <c r="A36" s="410"/>
      <c r="B36" s="410"/>
      <c r="C36" s="370" t="s">
        <v>260</v>
      </c>
      <c r="D36" s="410"/>
      <c r="E36" s="410"/>
      <c r="F36" s="410"/>
      <c r="G36" s="420"/>
      <c r="H36" s="421"/>
      <c r="I36" s="410"/>
    </row>
    <row r="37">
      <c r="A37" s="410"/>
      <c r="B37" s="410"/>
      <c r="C37" s="371"/>
      <c r="D37" s="410"/>
      <c r="E37" s="410"/>
      <c r="F37" s="410"/>
      <c r="G37" s="420"/>
      <c r="H37" s="421"/>
      <c r="I37" s="451" t="s">
        <v>315</v>
      </c>
    </row>
  </sheetData>
  <mergeCells count="5">
    <mergeCell ref="B8:H8"/>
    <mergeCell ref="B9:H9"/>
    <mergeCell ref="B11:H11"/>
    <mergeCell ref="C14:E14"/>
    <mergeCell ref="B26:H26"/>
  </mergeCells>
  <printOptions horizontalCentered="1"/>
  <pageMargins bottom="1.1551272779130295" footer="0.0" header="0.0" left="0.03937007874015748" right="0.03937007874015748" top="0.03937007874015748"/>
  <pageSetup fitToHeight="0"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5" width="8.43"/>
    <col customWidth="1" min="6" max="6" width="33.86"/>
    <col customWidth="1" min="7" max="7" width="2.14"/>
  </cols>
  <sheetData>
    <row r="1">
      <c r="B1" s="317"/>
      <c r="C1" s="317"/>
      <c r="D1" s="317"/>
      <c r="E1" s="317"/>
      <c r="F1" s="317"/>
      <c r="G1" s="317"/>
    </row>
    <row r="2">
      <c r="B2" s="317"/>
      <c r="C2" s="317"/>
      <c r="D2" s="317"/>
      <c r="E2" s="317"/>
      <c r="F2" s="317"/>
      <c r="G2" s="317"/>
    </row>
    <row r="3">
      <c r="B3" s="317"/>
      <c r="C3" s="317"/>
      <c r="D3" s="317"/>
      <c r="E3" s="317"/>
      <c r="F3" s="317"/>
      <c r="G3" s="317"/>
    </row>
    <row r="4">
      <c r="B4" s="317"/>
      <c r="C4" s="317"/>
      <c r="D4" s="317"/>
      <c r="E4" s="317"/>
      <c r="F4" s="317"/>
      <c r="G4" s="317"/>
    </row>
    <row r="5">
      <c r="B5" s="318"/>
      <c r="C5" s="318"/>
      <c r="D5" s="318"/>
      <c r="E5" s="318"/>
      <c r="F5" s="318"/>
      <c r="G5" s="317"/>
    </row>
    <row r="6">
      <c r="A6" s="54" t="s">
        <v>223</v>
      </c>
      <c r="G6" s="317"/>
    </row>
    <row r="7">
      <c r="A7" s="322" t="s">
        <v>336</v>
      </c>
      <c r="G7" s="319"/>
    </row>
    <row r="8">
      <c r="A8" s="318" t="s">
        <v>225</v>
      </c>
      <c r="G8" s="319"/>
    </row>
    <row r="9">
      <c r="B9" s="320" t="s">
        <v>227</v>
      </c>
      <c r="C9" s="321" t="s">
        <v>228</v>
      </c>
      <c r="D9" s="322"/>
      <c r="E9" s="322"/>
      <c r="F9" s="322"/>
      <c r="G9" s="322"/>
    </row>
    <row r="10">
      <c r="B10" s="320" t="s">
        <v>284</v>
      </c>
      <c r="C10" s="321" t="s">
        <v>337</v>
      </c>
      <c r="D10" s="322"/>
      <c r="E10" s="322"/>
      <c r="F10" s="322"/>
      <c r="G10" s="322"/>
    </row>
    <row r="11">
      <c r="B11" s="320" t="s">
        <v>338</v>
      </c>
      <c r="D11" s="322"/>
      <c r="E11" s="322"/>
      <c r="F11" s="322"/>
      <c r="G11" s="322"/>
    </row>
    <row r="12">
      <c r="B12" s="1" t="s">
        <v>232</v>
      </c>
      <c r="D12" s="322"/>
      <c r="E12" s="327">
        <v>42000.0</v>
      </c>
      <c r="F12" s="328" t="s">
        <v>233</v>
      </c>
      <c r="G12" s="322"/>
    </row>
    <row r="13">
      <c r="B13" s="329"/>
      <c r="D13" s="322"/>
      <c r="E13" s="330"/>
      <c r="F13" s="322"/>
      <c r="G13" s="322"/>
    </row>
    <row r="14">
      <c r="B14" s="1" t="s">
        <v>234</v>
      </c>
      <c r="D14" s="322"/>
      <c r="E14" s="327">
        <v>14000.0</v>
      </c>
      <c r="F14" s="328" t="s">
        <v>233</v>
      </c>
      <c r="G14" s="322"/>
    </row>
    <row r="15">
      <c r="B15" s="329"/>
      <c r="D15" s="322"/>
      <c r="E15" s="330"/>
      <c r="F15" s="322"/>
      <c r="G15" s="322"/>
    </row>
    <row r="16">
      <c r="B16" s="1" t="s">
        <v>235</v>
      </c>
      <c r="D16" s="322"/>
      <c r="E16" s="327">
        <v>18000.0</v>
      </c>
      <c r="F16" s="328" t="s">
        <v>233</v>
      </c>
      <c r="G16" s="322"/>
    </row>
    <row r="17">
      <c r="B17" s="329"/>
      <c r="D17" s="332"/>
      <c r="E17" s="331"/>
      <c r="F17" s="322"/>
      <c r="G17" s="322"/>
    </row>
    <row r="18">
      <c r="D18" s="332" t="s">
        <v>236</v>
      </c>
      <c r="E18" s="331">
        <f>SUM(E12:E16)</f>
        <v>74000</v>
      </c>
      <c r="F18" s="328" t="s">
        <v>233</v>
      </c>
      <c r="G18" s="322"/>
    </row>
    <row r="19" ht="10.5" customHeight="1">
      <c r="D19" s="322"/>
      <c r="E19" s="322"/>
      <c r="F19" s="322"/>
      <c r="G19" s="322"/>
    </row>
    <row r="20">
      <c r="B20" s="1"/>
      <c r="D20" s="322"/>
      <c r="E20" s="43"/>
      <c r="F20" s="45"/>
      <c r="G20" s="328"/>
    </row>
    <row r="21" ht="27.75" customHeight="1">
      <c r="A21" s="452"/>
      <c r="B21" s="453" t="s">
        <v>237</v>
      </c>
      <c r="C21" s="454"/>
      <c r="D21" s="455"/>
      <c r="E21" s="456" t="s">
        <v>238</v>
      </c>
      <c r="F21" s="456" t="s">
        <v>239</v>
      </c>
      <c r="G21" s="457"/>
    </row>
    <row r="22">
      <c r="B22" s="458" t="s">
        <v>240</v>
      </c>
      <c r="C22" s="459"/>
      <c r="D22" s="460"/>
      <c r="E22" s="344"/>
      <c r="F22" s="344"/>
      <c r="G22" s="322"/>
    </row>
    <row r="23">
      <c r="B23" s="345" t="s">
        <v>241</v>
      </c>
      <c r="C23" s="346"/>
      <c r="D23" s="347"/>
      <c r="E23" s="348" t="s">
        <v>247</v>
      </c>
      <c r="F23" s="349" t="s">
        <v>339</v>
      </c>
      <c r="G23" s="322"/>
    </row>
    <row r="24">
      <c r="B24" s="350"/>
      <c r="C24" s="346"/>
      <c r="D24" s="347"/>
      <c r="E24" s="351"/>
      <c r="F24" s="349" t="s">
        <v>340</v>
      </c>
      <c r="G24" s="322"/>
    </row>
    <row r="25">
      <c r="B25" s="345"/>
      <c r="C25" s="346"/>
      <c r="D25" s="347"/>
      <c r="E25" s="348"/>
      <c r="F25" s="349"/>
      <c r="G25" s="322"/>
    </row>
    <row r="26">
      <c r="B26" s="345" t="s">
        <v>244</v>
      </c>
      <c r="C26" s="346"/>
      <c r="D26" s="347"/>
      <c r="E26" s="348" t="s">
        <v>341</v>
      </c>
      <c r="F26" s="349" t="s">
        <v>342</v>
      </c>
      <c r="G26" s="322"/>
    </row>
    <row r="27">
      <c r="B27" s="350"/>
      <c r="C27" s="346"/>
      <c r="D27" s="347"/>
      <c r="E27" s="344"/>
      <c r="F27" s="349" t="s">
        <v>343</v>
      </c>
      <c r="G27" s="322"/>
    </row>
    <row r="28">
      <c r="B28" s="345"/>
      <c r="C28" s="346"/>
      <c r="D28" s="347"/>
      <c r="E28" s="352"/>
      <c r="F28" s="349"/>
      <c r="G28" s="322"/>
    </row>
    <row r="29">
      <c r="B29" s="345" t="s">
        <v>246</v>
      </c>
      <c r="C29" s="346"/>
      <c r="D29" s="347"/>
      <c r="E29" s="352" t="s">
        <v>247</v>
      </c>
      <c r="F29" s="349" t="s">
        <v>344</v>
      </c>
      <c r="G29" s="322"/>
    </row>
    <row r="30">
      <c r="B30" s="353"/>
      <c r="C30" s="346"/>
      <c r="D30" s="347"/>
      <c r="E30" s="344"/>
      <c r="F30" s="344"/>
      <c r="G30" s="322"/>
    </row>
    <row r="31">
      <c r="B31" s="354" t="s">
        <v>248</v>
      </c>
      <c r="C31" s="355"/>
      <c r="D31" s="356"/>
      <c r="E31" s="357"/>
      <c r="F31" s="357"/>
      <c r="G31" s="322"/>
    </row>
    <row r="32">
      <c r="B32" s="396" t="s">
        <v>249</v>
      </c>
      <c r="C32" s="397"/>
      <c r="D32" s="398"/>
      <c r="E32" s="361"/>
      <c r="F32" s="361"/>
      <c r="G32" s="322"/>
    </row>
    <row r="33">
      <c r="B33" s="461"/>
      <c r="C33" s="346"/>
      <c r="D33" s="347"/>
      <c r="E33" s="361"/>
      <c r="F33" s="361"/>
      <c r="G33" s="322"/>
    </row>
    <row r="34">
      <c r="B34" s="462" t="s">
        <v>345</v>
      </c>
      <c r="C34" s="463"/>
      <c r="D34" s="460"/>
      <c r="E34" s="361"/>
      <c r="F34" s="361"/>
      <c r="G34" s="322"/>
    </row>
    <row r="35">
      <c r="B35" s="464" t="s">
        <v>346</v>
      </c>
      <c r="C35" s="346"/>
      <c r="D35" s="347"/>
      <c r="E35" s="361"/>
      <c r="F35" s="361"/>
      <c r="G35" s="322"/>
    </row>
    <row r="36">
      <c r="B36" s="345" t="s">
        <v>241</v>
      </c>
      <c r="C36" s="346"/>
      <c r="D36" s="347"/>
      <c r="E36" s="388" t="s">
        <v>245</v>
      </c>
      <c r="F36" s="388" t="s">
        <v>347</v>
      </c>
      <c r="G36" s="322"/>
    </row>
    <row r="37">
      <c r="B37" s="350"/>
      <c r="C37" s="346"/>
      <c r="D37" s="347"/>
      <c r="E37" s="361"/>
      <c r="F37" s="361"/>
      <c r="G37" s="322"/>
    </row>
    <row r="38">
      <c r="B38" s="345" t="s">
        <v>244</v>
      </c>
      <c r="C38" s="346"/>
      <c r="D38" s="347"/>
      <c r="E38" s="366" t="s">
        <v>251</v>
      </c>
      <c r="F38" s="388" t="s">
        <v>348</v>
      </c>
      <c r="G38" s="322"/>
    </row>
    <row r="39">
      <c r="B39" s="350"/>
      <c r="C39" s="346"/>
      <c r="D39" s="347"/>
      <c r="E39" s="361"/>
      <c r="F39" s="388"/>
      <c r="G39" s="322"/>
    </row>
    <row r="40" ht="23.25" customHeight="1">
      <c r="B40" s="345" t="s">
        <v>253</v>
      </c>
      <c r="C40" s="346"/>
      <c r="D40" s="347"/>
      <c r="E40" s="388" t="s">
        <v>245</v>
      </c>
      <c r="F40" s="388" t="s">
        <v>349</v>
      </c>
      <c r="G40" s="322"/>
    </row>
    <row r="41">
      <c r="B41" s="465"/>
      <c r="C41" s="346"/>
      <c r="D41" s="347"/>
      <c r="E41" s="361"/>
      <c r="F41" s="361"/>
      <c r="G41" s="322"/>
    </row>
    <row r="42">
      <c r="B42" s="466" t="s">
        <v>250</v>
      </c>
      <c r="C42" s="346"/>
      <c r="D42" s="347"/>
      <c r="E42" s="347"/>
      <c r="F42" s="361"/>
      <c r="G42" s="322"/>
    </row>
    <row r="43">
      <c r="B43" s="345" t="s">
        <v>241</v>
      </c>
      <c r="C43" s="346"/>
      <c r="D43" s="347"/>
      <c r="E43" s="366"/>
      <c r="F43" s="388" t="s">
        <v>252</v>
      </c>
      <c r="G43" s="322"/>
    </row>
    <row r="44">
      <c r="B44" s="350"/>
      <c r="C44" s="346"/>
      <c r="D44" s="347"/>
      <c r="E44" s="347"/>
      <c r="F44" s="361"/>
      <c r="G44" s="322"/>
    </row>
    <row r="45">
      <c r="B45" s="345" t="s">
        <v>244</v>
      </c>
      <c r="C45" s="346"/>
      <c r="D45" s="347"/>
      <c r="E45" s="366" t="s">
        <v>350</v>
      </c>
      <c r="F45" s="388" t="s">
        <v>351</v>
      </c>
      <c r="G45" s="322"/>
    </row>
    <row r="46">
      <c r="B46" s="350"/>
      <c r="C46" s="346"/>
      <c r="D46" s="347"/>
      <c r="E46" s="347"/>
      <c r="F46" s="388" t="s">
        <v>352</v>
      </c>
      <c r="G46" s="322"/>
    </row>
    <row r="47">
      <c r="B47" s="345"/>
      <c r="C47" s="346"/>
      <c r="D47" s="347"/>
      <c r="E47" s="347"/>
      <c r="F47" s="361"/>
      <c r="G47" s="322"/>
    </row>
    <row r="48">
      <c r="B48" s="345" t="s">
        <v>253</v>
      </c>
      <c r="C48" s="346"/>
      <c r="D48" s="347"/>
      <c r="E48" s="347"/>
      <c r="F48" s="388" t="s">
        <v>252</v>
      </c>
      <c r="G48" s="322"/>
    </row>
    <row r="49">
      <c r="B49" s="350"/>
      <c r="C49" s="346"/>
      <c r="D49" s="347"/>
      <c r="E49" s="347"/>
      <c r="F49" s="361"/>
      <c r="G49" s="322"/>
    </row>
    <row r="50">
      <c r="B50" s="368"/>
      <c r="C50" s="355"/>
      <c r="D50" s="356"/>
      <c r="E50" s="356"/>
      <c r="F50" s="369"/>
      <c r="G50" s="322"/>
    </row>
    <row r="51" ht="5.25" customHeight="1">
      <c r="D51" s="322"/>
      <c r="E51" s="322"/>
      <c r="F51" s="322"/>
      <c r="G51" s="322"/>
    </row>
    <row r="52">
      <c r="B52" s="370" t="s">
        <v>254</v>
      </c>
      <c r="D52" s="322"/>
      <c r="E52" s="322"/>
      <c r="F52" s="322"/>
      <c r="G52" s="322"/>
    </row>
    <row r="53">
      <c r="B53" s="370" t="s">
        <v>255</v>
      </c>
      <c r="D53" s="322"/>
      <c r="E53" s="322"/>
      <c r="F53" s="322"/>
      <c r="G53" s="322"/>
    </row>
    <row r="54">
      <c r="B54" s="371"/>
      <c r="D54" s="322"/>
      <c r="E54" s="322"/>
      <c r="F54" s="322"/>
      <c r="G54" s="322"/>
    </row>
    <row r="55">
      <c r="B55" s="370" t="s">
        <v>256</v>
      </c>
      <c r="D55" s="322"/>
      <c r="E55" s="322"/>
      <c r="F55" s="322"/>
      <c r="G55" s="322"/>
    </row>
    <row r="56">
      <c r="B56" s="371"/>
      <c r="D56" s="322"/>
      <c r="E56" s="322"/>
      <c r="F56" s="322"/>
      <c r="G56" s="322"/>
    </row>
    <row r="57">
      <c r="B57" s="370" t="s">
        <v>257</v>
      </c>
      <c r="D57" s="322"/>
      <c r="E57" s="322"/>
      <c r="F57" s="322"/>
      <c r="G57" s="322"/>
    </row>
    <row r="58">
      <c r="B58" s="370" t="s">
        <v>258</v>
      </c>
      <c r="D58" s="322"/>
      <c r="E58" s="322"/>
      <c r="F58" s="322"/>
      <c r="G58" s="322"/>
    </row>
    <row r="59">
      <c r="B59" s="370" t="s">
        <v>259</v>
      </c>
      <c r="D59" s="322"/>
      <c r="E59" s="322"/>
      <c r="F59" s="322"/>
      <c r="G59" s="322"/>
    </row>
    <row r="60">
      <c r="B60" s="371"/>
      <c r="D60" s="322"/>
      <c r="E60" s="322"/>
      <c r="F60" s="322"/>
      <c r="G60" s="322"/>
    </row>
    <row r="61">
      <c r="B61" s="370" t="s">
        <v>260</v>
      </c>
      <c r="D61" s="322"/>
      <c r="E61" s="322"/>
      <c r="F61" s="322"/>
      <c r="G61" s="322"/>
    </row>
    <row r="62">
      <c r="B62" s="1" t="s">
        <v>261</v>
      </c>
      <c r="D62" s="322"/>
      <c r="E62" s="322"/>
      <c r="F62" s="322"/>
      <c r="G62" s="322"/>
    </row>
    <row r="63">
      <c r="B63" s="1"/>
      <c r="D63" s="322"/>
      <c r="E63" s="322"/>
      <c r="F63" s="322"/>
      <c r="G63" s="322"/>
    </row>
    <row r="64">
      <c r="B64" s="1"/>
      <c r="D64" s="322"/>
      <c r="E64" s="322"/>
      <c r="F64" s="322"/>
      <c r="G64" s="322"/>
    </row>
    <row r="65">
      <c r="B65" s="1"/>
      <c r="D65" s="322"/>
      <c r="E65" s="322"/>
      <c r="F65" s="322"/>
      <c r="G65" s="322"/>
    </row>
    <row r="66">
      <c r="B66" s="1"/>
      <c r="D66" s="322"/>
      <c r="E66" s="322"/>
      <c r="F66" s="322"/>
      <c r="G66" s="322"/>
    </row>
    <row r="67">
      <c r="B67" s="317"/>
      <c r="C67" s="317"/>
      <c r="D67" s="317"/>
      <c r="E67" s="317"/>
      <c r="F67" s="317"/>
      <c r="G67" s="322"/>
    </row>
    <row r="68">
      <c r="B68" s="317"/>
      <c r="C68" s="317"/>
      <c r="D68" s="317"/>
      <c r="E68" s="317"/>
      <c r="F68" s="317"/>
      <c r="G68" s="322"/>
    </row>
    <row r="69">
      <c r="B69" s="317"/>
      <c r="C69" s="317"/>
      <c r="D69" s="317"/>
      <c r="E69" s="317"/>
      <c r="F69" s="317"/>
      <c r="G69" s="322"/>
    </row>
    <row r="70">
      <c r="B70" s="317"/>
      <c r="C70" s="317"/>
      <c r="D70" s="317"/>
      <c r="E70" s="317"/>
      <c r="F70" s="317"/>
      <c r="G70" s="322"/>
    </row>
    <row r="71">
      <c r="B71" s="317"/>
      <c r="C71" s="317"/>
      <c r="D71" s="317"/>
      <c r="E71" s="317"/>
      <c r="F71" s="317"/>
      <c r="G71" s="322"/>
    </row>
    <row r="72">
      <c r="B72" s="317"/>
      <c r="C72" s="317"/>
      <c r="D72" s="317"/>
      <c r="E72" s="317"/>
      <c r="F72" s="317"/>
      <c r="G72" s="322"/>
    </row>
    <row r="73">
      <c r="B73" s="318"/>
      <c r="C73" s="318"/>
      <c r="D73" s="318"/>
      <c r="E73" s="318"/>
      <c r="F73" s="318"/>
      <c r="G73" s="322"/>
    </row>
    <row r="74">
      <c r="A74" s="372" t="s">
        <v>262</v>
      </c>
      <c r="G74" s="322"/>
    </row>
    <row r="75">
      <c r="A75" s="318" t="str">
        <f t="shared" ref="A75:A76" si="1">A7</f>
        <v>Tianjin ( 天津港 )</v>
      </c>
      <c r="G75" s="322"/>
    </row>
    <row r="76">
      <c r="A76" s="318" t="str">
        <f t="shared" si="1"/>
        <v>วันที่  12/06/2020</v>
      </c>
      <c r="G76" s="322"/>
    </row>
    <row r="77">
      <c r="B77" s="373" t="s">
        <v>265</v>
      </c>
      <c r="C77" s="321" t="s">
        <v>353</v>
      </c>
      <c r="D77" s="322"/>
      <c r="E77" s="322"/>
      <c r="F77" s="322"/>
      <c r="G77" s="322"/>
    </row>
    <row r="78">
      <c r="B78" s="373" t="s">
        <v>354</v>
      </c>
      <c r="C78" s="321" t="str">
        <f>C10</f>
        <v>Tianjin PORT</v>
      </c>
      <c r="D78" s="322"/>
      <c r="E78" s="322"/>
      <c r="F78" s="322"/>
      <c r="G78" s="322"/>
    </row>
    <row r="79">
      <c r="B79" s="373" t="s">
        <v>266</v>
      </c>
      <c r="D79" s="322"/>
      <c r="E79" s="322"/>
      <c r="F79" s="322"/>
      <c r="G79" s="322"/>
    </row>
    <row r="80">
      <c r="B80" s="1" t="s">
        <v>270</v>
      </c>
      <c r="D80" s="322"/>
      <c r="E80" s="330">
        <f>E12</f>
        <v>42000</v>
      </c>
      <c r="F80" s="328" t="s">
        <v>233</v>
      </c>
      <c r="G80" s="322"/>
    </row>
    <row r="81">
      <c r="B81" s="329"/>
      <c r="D81" s="322"/>
      <c r="E81" s="330"/>
      <c r="F81" s="322"/>
      <c r="G81" s="322"/>
    </row>
    <row r="82">
      <c r="B82" s="1" t="s">
        <v>271</v>
      </c>
      <c r="D82" s="322"/>
      <c r="E82" s="330">
        <f>E14</f>
        <v>14000</v>
      </c>
      <c r="F82" s="328" t="s">
        <v>233</v>
      </c>
      <c r="G82" s="322"/>
    </row>
    <row r="83">
      <c r="B83" s="329"/>
      <c r="D83" s="322"/>
      <c r="E83" s="330"/>
      <c r="F83" s="322"/>
      <c r="G83" s="322"/>
    </row>
    <row r="84">
      <c r="B84" s="1" t="s">
        <v>272</v>
      </c>
      <c r="D84" s="322"/>
      <c r="E84" s="330">
        <f>E16</f>
        <v>18000</v>
      </c>
      <c r="F84" s="328" t="s">
        <v>233</v>
      </c>
      <c r="G84" s="322"/>
    </row>
    <row r="85">
      <c r="B85" s="329"/>
      <c r="D85" s="332"/>
      <c r="E85" s="331"/>
      <c r="F85" s="322"/>
      <c r="G85" s="322"/>
    </row>
    <row r="86">
      <c r="D86" s="467" t="s">
        <v>273</v>
      </c>
      <c r="E86" s="331">
        <f>SUM(E80:E84)</f>
        <v>74000</v>
      </c>
      <c r="F86" s="328" t="s">
        <v>233</v>
      </c>
      <c r="G86" s="322"/>
    </row>
    <row r="87">
      <c r="D87" s="322"/>
      <c r="E87" s="322"/>
      <c r="F87" s="322"/>
      <c r="G87" s="322"/>
    </row>
    <row r="88">
      <c r="B88" s="1"/>
      <c r="D88" s="322"/>
      <c r="E88" s="43"/>
      <c r="F88" s="45"/>
      <c r="G88" s="322"/>
    </row>
    <row r="89">
      <c r="B89" s="401" t="s">
        <v>274</v>
      </c>
      <c r="C89" s="402"/>
      <c r="D89" s="403"/>
      <c r="E89" s="404" t="s">
        <v>275</v>
      </c>
      <c r="F89" s="404" t="s">
        <v>276</v>
      </c>
      <c r="G89" s="322"/>
    </row>
    <row r="90">
      <c r="B90" s="405" t="s">
        <v>277</v>
      </c>
      <c r="C90" s="406"/>
      <c r="D90" s="407"/>
      <c r="E90" s="344"/>
      <c r="F90" s="344"/>
      <c r="G90" s="322"/>
    </row>
    <row r="91">
      <c r="B91" s="345" t="s">
        <v>278</v>
      </c>
      <c r="C91" s="346"/>
      <c r="D91" s="347"/>
      <c r="E91" s="348" t="s">
        <v>247</v>
      </c>
      <c r="F91" s="349" t="s">
        <v>339</v>
      </c>
      <c r="G91" s="322"/>
    </row>
    <row r="92">
      <c r="B92" s="350"/>
      <c r="C92" s="346"/>
      <c r="D92" s="347"/>
      <c r="E92" s="351"/>
      <c r="F92" s="349" t="s">
        <v>340</v>
      </c>
      <c r="G92" s="322"/>
    </row>
    <row r="93">
      <c r="B93" s="345"/>
      <c r="C93" s="346"/>
      <c r="D93" s="347"/>
      <c r="E93" s="348"/>
      <c r="F93" s="349"/>
      <c r="G93" s="322"/>
    </row>
    <row r="94">
      <c r="B94" s="345" t="s">
        <v>279</v>
      </c>
      <c r="C94" s="346"/>
      <c r="D94" s="347"/>
      <c r="E94" s="348" t="s">
        <v>341</v>
      </c>
      <c r="F94" s="349" t="s">
        <v>342</v>
      </c>
      <c r="G94" s="322"/>
    </row>
    <row r="95">
      <c r="B95" s="350"/>
      <c r="C95" s="346"/>
      <c r="D95" s="347"/>
      <c r="E95" s="344"/>
      <c r="F95" s="349" t="s">
        <v>343</v>
      </c>
      <c r="G95" s="322"/>
    </row>
    <row r="96">
      <c r="B96" s="345"/>
      <c r="C96" s="346"/>
      <c r="D96" s="347"/>
      <c r="E96" s="352"/>
      <c r="F96" s="349"/>
      <c r="G96" s="322"/>
    </row>
    <row r="97">
      <c r="B97" s="345" t="s">
        <v>280</v>
      </c>
      <c r="C97" s="346"/>
      <c r="D97" s="347"/>
      <c r="E97" s="352" t="s">
        <v>247</v>
      </c>
      <c r="F97" s="349" t="s">
        <v>344</v>
      </c>
      <c r="G97" s="322"/>
    </row>
    <row r="98">
      <c r="B98" s="353"/>
      <c r="C98" s="346"/>
      <c r="D98" s="347"/>
      <c r="E98" s="344"/>
      <c r="F98" s="344"/>
      <c r="G98" s="322"/>
    </row>
    <row r="99">
      <c r="B99" s="354" t="s">
        <v>248</v>
      </c>
      <c r="C99" s="355"/>
      <c r="D99" s="356"/>
      <c r="E99" s="357"/>
      <c r="F99" s="357"/>
      <c r="G99" s="322"/>
    </row>
    <row r="100">
      <c r="B100" s="461"/>
      <c r="C100" s="346"/>
      <c r="D100" s="347"/>
      <c r="E100" s="468"/>
      <c r="F100" s="361"/>
      <c r="G100" s="322"/>
    </row>
    <row r="101">
      <c r="B101" s="396" t="s">
        <v>355</v>
      </c>
      <c r="C101" s="397"/>
      <c r="D101" s="398"/>
      <c r="E101" s="361"/>
      <c r="F101" s="361"/>
      <c r="G101" s="322"/>
    </row>
    <row r="102">
      <c r="B102" s="469" t="s">
        <v>356</v>
      </c>
      <c r="C102" s="346"/>
      <c r="D102" s="347"/>
      <c r="E102" s="361"/>
      <c r="F102" s="361"/>
      <c r="G102" s="322"/>
    </row>
    <row r="103">
      <c r="B103" s="464" t="s">
        <v>346</v>
      </c>
      <c r="C103" s="346"/>
      <c r="D103" s="347"/>
      <c r="E103" s="361"/>
      <c r="F103" s="361"/>
      <c r="G103" s="322"/>
    </row>
    <row r="104">
      <c r="B104" s="345" t="s">
        <v>278</v>
      </c>
      <c r="C104" s="346"/>
      <c r="D104" s="347"/>
      <c r="E104" s="388" t="s">
        <v>245</v>
      </c>
      <c r="F104" s="388" t="s">
        <v>347</v>
      </c>
      <c r="G104" s="322"/>
    </row>
    <row r="105">
      <c r="B105" s="350"/>
      <c r="C105" s="346"/>
      <c r="D105" s="347"/>
      <c r="E105" s="361"/>
      <c r="F105" s="361"/>
      <c r="G105" s="322"/>
    </row>
    <row r="106">
      <c r="B106" s="345" t="s">
        <v>279</v>
      </c>
      <c r="C106" s="346"/>
      <c r="D106" s="347"/>
      <c r="E106" s="470" t="s">
        <v>251</v>
      </c>
      <c r="F106" s="388" t="s">
        <v>348</v>
      </c>
      <c r="G106" s="322"/>
    </row>
    <row r="107">
      <c r="B107" s="350"/>
      <c r="C107" s="346"/>
      <c r="D107" s="347"/>
      <c r="E107" s="361"/>
      <c r="F107" s="388"/>
      <c r="G107" s="322"/>
    </row>
    <row r="108">
      <c r="B108" s="345" t="s">
        <v>280</v>
      </c>
      <c r="C108" s="346"/>
      <c r="D108" s="347"/>
      <c r="E108" s="388" t="s">
        <v>245</v>
      </c>
      <c r="F108" s="388" t="s">
        <v>349</v>
      </c>
      <c r="G108" s="322"/>
    </row>
    <row r="109">
      <c r="B109" s="465"/>
      <c r="C109" s="346"/>
      <c r="D109" s="347"/>
      <c r="E109" s="361"/>
      <c r="F109" s="361"/>
      <c r="G109" s="322"/>
    </row>
    <row r="110">
      <c r="B110" s="408" t="s">
        <v>281</v>
      </c>
      <c r="C110" s="397"/>
      <c r="D110" s="398"/>
      <c r="E110" s="361"/>
      <c r="F110" s="361"/>
      <c r="G110" s="322"/>
    </row>
    <row r="111">
      <c r="B111" s="345" t="s">
        <v>278</v>
      </c>
      <c r="C111" s="346"/>
      <c r="D111" s="347"/>
      <c r="E111" s="361"/>
      <c r="F111" s="361" t="s">
        <v>282</v>
      </c>
      <c r="G111" s="322"/>
    </row>
    <row r="112">
      <c r="B112" s="350"/>
      <c r="D112" s="346"/>
      <c r="E112" s="361"/>
      <c r="F112" s="361"/>
      <c r="G112" s="322"/>
    </row>
    <row r="113">
      <c r="B113" s="345" t="s">
        <v>279</v>
      </c>
      <c r="C113" s="346"/>
      <c r="D113" s="347"/>
      <c r="E113" s="470" t="s">
        <v>350</v>
      </c>
      <c r="F113" s="388" t="s">
        <v>351</v>
      </c>
      <c r="G113" s="322"/>
    </row>
    <row r="114">
      <c r="B114" s="350"/>
      <c r="C114" s="346"/>
      <c r="D114" s="347"/>
      <c r="E114" s="361"/>
      <c r="F114" s="388" t="s">
        <v>352</v>
      </c>
      <c r="G114" s="322"/>
    </row>
    <row r="115">
      <c r="B115" s="345"/>
      <c r="C115" s="346"/>
      <c r="D115" s="347"/>
      <c r="E115" s="361"/>
      <c r="F115" s="361"/>
      <c r="G115" s="322"/>
    </row>
    <row r="116">
      <c r="B116" s="389" t="s">
        <v>283</v>
      </c>
      <c r="C116" s="346"/>
      <c r="D116" s="347"/>
      <c r="E116" s="361"/>
      <c r="F116" s="471" t="s">
        <v>282</v>
      </c>
      <c r="G116" s="322"/>
    </row>
    <row r="117">
      <c r="B117" s="350"/>
      <c r="C117" s="346"/>
      <c r="D117" s="347"/>
      <c r="E117" s="361"/>
      <c r="F117" s="361"/>
      <c r="G117" s="322"/>
    </row>
    <row r="118">
      <c r="B118" s="368"/>
      <c r="C118" s="355"/>
      <c r="D118" s="356"/>
      <c r="E118" s="369"/>
      <c r="F118" s="369"/>
      <c r="G118" s="322"/>
    </row>
    <row r="119">
      <c r="D119" s="322"/>
      <c r="E119" s="322"/>
      <c r="F119" s="322"/>
      <c r="G119" s="322"/>
    </row>
    <row r="120">
      <c r="B120" s="370" t="s">
        <v>254</v>
      </c>
      <c r="D120" s="322"/>
      <c r="E120" s="322"/>
      <c r="F120" s="322"/>
      <c r="G120" s="322"/>
    </row>
    <row r="121">
      <c r="B121" s="370" t="s">
        <v>255</v>
      </c>
      <c r="D121" s="322"/>
      <c r="E121" s="322"/>
      <c r="F121" s="322"/>
      <c r="G121" s="322"/>
    </row>
    <row r="122">
      <c r="B122" s="371"/>
      <c r="D122" s="322"/>
      <c r="E122" s="322"/>
      <c r="F122" s="322"/>
      <c r="G122" s="322"/>
    </row>
    <row r="123">
      <c r="B123" s="370" t="s">
        <v>256</v>
      </c>
      <c r="D123" s="322"/>
      <c r="E123" s="322"/>
      <c r="F123" s="322"/>
      <c r="G123" s="322"/>
    </row>
    <row r="124">
      <c r="B124" s="371"/>
      <c r="D124" s="322"/>
      <c r="E124" s="322"/>
      <c r="F124" s="322"/>
      <c r="G124" s="322"/>
    </row>
    <row r="125">
      <c r="B125" s="370" t="s">
        <v>257</v>
      </c>
      <c r="D125" s="322"/>
      <c r="E125" s="322"/>
      <c r="F125" s="322"/>
      <c r="G125" s="322"/>
    </row>
    <row r="126">
      <c r="B126" s="370" t="s">
        <v>258</v>
      </c>
      <c r="D126" s="322"/>
      <c r="E126" s="322"/>
      <c r="F126" s="322"/>
      <c r="G126" s="322"/>
    </row>
    <row r="127">
      <c r="B127" s="370" t="s">
        <v>259</v>
      </c>
      <c r="D127" s="322"/>
      <c r="E127" s="322"/>
      <c r="F127" s="322"/>
      <c r="G127" s="322"/>
    </row>
    <row r="128">
      <c r="B128" s="371"/>
      <c r="D128" s="322"/>
      <c r="E128" s="322"/>
      <c r="F128" s="322"/>
      <c r="G128" s="322"/>
    </row>
    <row r="129">
      <c r="B129" s="370" t="s">
        <v>260</v>
      </c>
      <c r="D129" s="322"/>
      <c r="E129" s="322"/>
      <c r="F129" s="322"/>
      <c r="G129" s="322"/>
    </row>
    <row r="130">
      <c r="B130" s="1" t="s">
        <v>261</v>
      </c>
      <c r="D130" s="322"/>
      <c r="E130" s="322"/>
      <c r="F130" s="322"/>
      <c r="G130" s="322"/>
    </row>
    <row r="131">
      <c r="B131" s="1"/>
      <c r="D131" s="322"/>
      <c r="E131" s="322"/>
      <c r="F131" s="322"/>
      <c r="G131" s="322"/>
    </row>
  </sheetData>
  <mergeCells count="8">
    <mergeCell ref="A6:F6"/>
    <mergeCell ref="A7:F7"/>
    <mergeCell ref="A8:F8"/>
    <mergeCell ref="E20:F20"/>
    <mergeCell ref="A74:F74"/>
    <mergeCell ref="A75:F75"/>
    <mergeCell ref="A76:F76"/>
    <mergeCell ref="E88:F88"/>
  </mergeCells>
  <printOptions gridLines="1" horizontalCentered="1"/>
  <pageMargins bottom="0.17112996709822662" footer="0.0" header="0.0" left="0.06417373766183497" right="0.032086868830917485" top="0.14973872121094825"/>
  <pageSetup fitToWidth="0"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18.86"/>
    <col customWidth="1" min="4" max="7" width="15.57"/>
  </cols>
  <sheetData>
    <row r="1">
      <c r="D1" s="322"/>
      <c r="E1" s="322"/>
    </row>
    <row r="2">
      <c r="B2" s="472" t="s">
        <v>357</v>
      </c>
      <c r="C2" s="473"/>
      <c r="D2" s="473"/>
      <c r="E2" s="473"/>
      <c r="F2" s="473"/>
      <c r="G2" s="473"/>
    </row>
    <row r="3">
      <c r="D3" s="322"/>
      <c r="E3" s="322"/>
    </row>
    <row r="4">
      <c r="D4" s="322"/>
      <c r="E4" s="322"/>
    </row>
    <row r="5">
      <c r="A5" s="452"/>
      <c r="B5" s="474" t="s">
        <v>358</v>
      </c>
      <c r="C5" s="475"/>
      <c r="D5" s="476" t="s">
        <v>359</v>
      </c>
      <c r="E5" s="476" t="s">
        <v>360</v>
      </c>
      <c r="F5" s="476" t="s">
        <v>361</v>
      </c>
      <c r="G5" s="476" t="s">
        <v>362</v>
      </c>
    </row>
    <row r="6">
      <c r="B6" s="477" t="s">
        <v>363</v>
      </c>
      <c r="C6" s="478" t="s">
        <v>364</v>
      </c>
      <c r="D6" s="479" t="s">
        <v>365</v>
      </c>
      <c r="E6" s="479" t="s">
        <v>365</v>
      </c>
      <c r="F6" s="479" t="s">
        <v>365</v>
      </c>
      <c r="G6" s="479" t="s">
        <v>365</v>
      </c>
    </row>
    <row r="7">
      <c r="B7" s="256"/>
      <c r="C7" s="47" t="s">
        <v>366</v>
      </c>
      <c r="D7" s="480" t="s">
        <v>367</v>
      </c>
      <c r="E7" s="480" t="s">
        <v>367</v>
      </c>
      <c r="F7" s="480" t="s">
        <v>367</v>
      </c>
      <c r="G7" s="480" t="s">
        <v>367</v>
      </c>
    </row>
    <row r="8">
      <c r="B8" s="256"/>
      <c r="C8" s="481" t="s">
        <v>368</v>
      </c>
      <c r="D8" s="482" t="s">
        <v>369</v>
      </c>
      <c r="E8" s="482" t="s">
        <v>369</v>
      </c>
      <c r="F8" s="482" t="s">
        <v>369</v>
      </c>
      <c r="G8" s="482" t="s">
        <v>369</v>
      </c>
    </row>
    <row r="9">
      <c r="B9" s="483"/>
      <c r="C9" s="484" t="s">
        <v>370</v>
      </c>
      <c r="D9" s="485"/>
      <c r="E9" s="485"/>
      <c r="F9" s="485"/>
      <c r="G9" s="485"/>
    </row>
    <row r="10">
      <c r="B10" s="486" t="s">
        <v>371</v>
      </c>
      <c r="C10" s="478" t="s">
        <v>364</v>
      </c>
      <c r="D10" s="487"/>
      <c r="E10" s="487"/>
      <c r="F10" s="487"/>
      <c r="G10" s="487"/>
    </row>
    <row r="11">
      <c r="B11" s="256"/>
      <c r="C11" s="47" t="s">
        <v>366</v>
      </c>
      <c r="D11" s="268"/>
      <c r="E11" s="268"/>
      <c r="F11" s="268"/>
      <c r="G11" s="268"/>
    </row>
    <row r="12">
      <c r="B12" s="256"/>
      <c r="C12" s="481" t="s">
        <v>368</v>
      </c>
      <c r="D12" s="488"/>
      <c r="E12" s="488"/>
      <c r="F12" s="488"/>
      <c r="G12" s="488"/>
    </row>
    <row r="13">
      <c r="B13" s="483"/>
      <c r="C13" s="484" t="s">
        <v>370</v>
      </c>
      <c r="D13" s="489"/>
      <c r="E13" s="489"/>
      <c r="F13" s="489"/>
      <c r="G13" s="489"/>
    </row>
    <row r="14">
      <c r="B14" s="486" t="s">
        <v>372</v>
      </c>
      <c r="C14" s="478" t="s">
        <v>364</v>
      </c>
      <c r="D14" s="490"/>
      <c r="E14" s="490"/>
      <c r="F14" s="490"/>
      <c r="G14" s="490"/>
    </row>
    <row r="15">
      <c r="B15" s="256"/>
      <c r="C15" s="47" t="s">
        <v>366</v>
      </c>
      <c r="D15" s="491"/>
      <c r="E15" s="491"/>
      <c r="F15" s="491"/>
      <c r="G15" s="491"/>
    </row>
    <row r="16">
      <c r="B16" s="256"/>
      <c r="C16" s="481" t="s">
        <v>368</v>
      </c>
      <c r="D16" s="492"/>
      <c r="E16" s="492"/>
      <c r="F16" s="492"/>
      <c r="G16" s="492"/>
    </row>
    <row r="17">
      <c r="B17" s="483"/>
      <c r="C17" s="484" t="s">
        <v>370</v>
      </c>
      <c r="D17" s="493"/>
      <c r="E17" s="493"/>
      <c r="F17" s="493"/>
      <c r="G17" s="493"/>
    </row>
    <row r="18">
      <c r="B18" s="486" t="s">
        <v>373</v>
      </c>
      <c r="C18" s="478" t="s">
        <v>364</v>
      </c>
      <c r="D18" s="487"/>
      <c r="E18" s="487"/>
      <c r="F18" s="487"/>
      <c r="G18" s="487"/>
    </row>
    <row r="19">
      <c r="B19" s="256"/>
      <c r="C19" s="47" t="s">
        <v>366</v>
      </c>
      <c r="D19" s="268"/>
      <c r="E19" s="268"/>
      <c r="F19" s="268"/>
      <c r="G19" s="268"/>
    </row>
    <row r="20">
      <c r="B20" s="256"/>
      <c r="C20" s="481" t="s">
        <v>368</v>
      </c>
      <c r="D20" s="488"/>
      <c r="E20" s="488"/>
      <c r="F20" s="488"/>
      <c r="G20" s="488"/>
    </row>
    <row r="21">
      <c r="B21" s="483"/>
      <c r="C21" s="484" t="s">
        <v>370</v>
      </c>
      <c r="D21" s="489"/>
      <c r="E21" s="489"/>
      <c r="F21" s="489"/>
      <c r="G21" s="489"/>
    </row>
    <row r="22">
      <c r="B22" s="486" t="s">
        <v>374</v>
      </c>
      <c r="C22" s="478" t="s">
        <v>364</v>
      </c>
      <c r="D22" s="487"/>
      <c r="E22" s="487"/>
      <c r="F22" s="487"/>
      <c r="G22" s="487"/>
    </row>
    <row r="23">
      <c r="B23" s="256"/>
      <c r="C23" s="47" t="s">
        <v>366</v>
      </c>
      <c r="D23" s="268"/>
      <c r="E23" s="268"/>
      <c r="F23" s="268"/>
      <c r="G23" s="268"/>
    </row>
    <row r="24">
      <c r="B24" s="256"/>
      <c r="C24" s="481" t="s">
        <v>368</v>
      </c>
      <c r="D24" s="488"/>
      <c r="E24" s="488"/>
      <c r="F24" s="488"/>
      <c r="G24" s="488"/>
    </row>
    <row r="25">
      <c r="B25" s="483"/>
      <c r="C25" s="484" t="s">
        <v>370</v>
      </c>
      <c r="D25" s="489"/>
      <c r="E25" s="489"/>
      <c r="F25" s="489"/>
      <c r="G25" s="489"/>
    </row>
    <row r="26">
      <c r="B26" s="486" t="s">
        <v>375</v>
      </c>
      <c r="C26" s="478" t="s">
        <v>364</v>
      </c>
      <c r="D26" s="494"/>
      <c r="E26" s="494"/>
      <c r="F26" s="494"/>
      <c r="G26" s="494"/>
    </row>
    <row r="27">
      <c r="B27" s="256"/>
      <c r="C27" s="47" t="s">
        <v>366</v>
      </c>
      <c r="D27" s="491"/>
      <c r="E27" s="491"/>
      <c r="F27" s="491"/>
      <c r="G27" s="491"/>
    </row>
    <row r="28">
      <c r="B28" s="256"/>
      <c r="C28" s="481" t="s">
        <v>368</v>
      </c>
      <c r="D28" s="492"/>
      <c r="E28" s="492"/>
      <c r="F28" s="492"/>
      <c r="G28" s="492"/>
    </row>
    <row r="29">
      <c r="B29" s="483"/>
      <c r="C29" s="484" t="s">
        <v>370</v>
      </c>
      <c r="D29" s="493"/>
      <c r="E29" s="493"/>
      <c r="F29" s="493"/>
      <c r="G29" s="493"/>
    </row>
    <row r="30">
      <c r="B30" s="486" t="s">
        <v>376</v>
      </c>
      <c r="C30" s="478" t="s">
        <v>364</v>
      </c>
      <c r="D30" s="494"/>
      <c r="E30" s="494"/>
      <c r="F30" s="494"/>
      <c r="G30" s="494"/>
    </row>
    <row r="31">
      <c r="B31" s="256"/>
      <c r="C31" s="47" t="s">
        <v>366</v>
      </c>
      <c r="D31" s="491"/>
      <c r="E31" s="491"/>
      <c r="F31" s="491"/>
      <c r="G31" s="491"/>
    </row>
    <row r="32">
      <c r="B32" s="256"/>
      <c r="C32" s="481" t="s">
        <v>368</v>
      </c>
      <c r="D32" s="492"/>
      <c r="E32" s="492"/>
      <c r="F32" s="492"/>
      <c r="G32" s="492"/>
    </row>
    <row r="33">
      <c r="B33" s="483"/>
      <c r="C33" s="484" t="s">
        <v>370</v>
      </c>
      <c r="D33" s="493"/>
      <c r="E33" s="493"/>
      <c r="F33" s="493"/>
      <c r="G33" s="493"/>
    </row>
    <row r="34">
      <c r="D34" s="322"/>
      <c r="E34" s="322"/>
    </row>
    <row r="35">
      <c r="D35" s="322"/>
      <c r="E35" s="322"/>
    </row>
  </sheetData>
  <mergeCells count="8">
    <mergeCell ref="B5:C5"/>
    <mergeCell ref="B6:B9"/>
    <mergeCell ref="B10:B13"/>
    <mergeCell ref="B14:B17"/>
    <mergeCell ref="B18:B21"/>
    <mergeCell ref="B22:B25"/>
    <mergeCell ref="B26:B29"/>
    <mergeCell ref="B30:B33"/>
  </mergeCells>
  <printOptions gridLines="1" horizontalCentered="1"/>
  <pageMargins bottom="0.7" footer="0.0" header="0.0" left="0.75" right="0.75" top="0.7"/>
  <pageSetup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6" width="20.14"/>
    <col customWidth="1" min="7" max="7" width="14.43"/>
    <col customWidth="1" min="8" max="8" width="22.57"/>
    <col customWidth="1" min="9" max="9" width="2.14"/>
  </cols>
  <sheetData>
    <row r="1">
      <c r="B1" s="317"/>
      <c r="C1" s="317"/>
      <c r="D1" s="317"/>
      <c r="E1" s="317"/>
      <c r="F1" s="317"/>
      <c r="G1" s="317"/>
      <c r="H1" s="317"/>
      <c r="I1" s="317"/>
    </row>
    <row r="2">
      <c r="B2" s="317"/>
      <c r="C2" s="317"/>
      <c r="D2" s="317"/>
      <c r="E2" s="317"/>
      <c r="F2" s="317"/>
      <c r="G2" s="317"/>
      <c r="H2" s="317"/>
      <c r="I2" s="317"/>
    </row>
    <row r="3">
      <c r="B3" s="317"/>
      <c r="C3" s="317"/>
      <c r="D3" s="317"/>
      <c r="E3" s="317"/>
      <c r="F3" s="317"/>
      <c r="G3" s="317"/>
      <c r="H3" s="317"/>
      <c r="I3" s="317"/>
    </row>
    <row r="4">
      <c r="B4" s="317"/>
      <c r="C4" s="317"/>
      <c r="D4" s="317"/>
      <c r="E4" s="317"/>
      <c r="F4" s="317"/>
      <c r="G4" s="317"/>
      <c r="H4" s="317"/>
      <c r="I4" s="317"/>
    </row>
    <row r="5">
      <c r="B5" s="318"/>
      <c r="C5" s="318"/>
      <c r="D5" s="318"/>
      <c r="E5" s="318"/>
      <c r="F5" s="318"/>
      <c r="G5" s="318"/>
      <c r="H5" s="318"/>
      <c r="I5" s="317"/>
    </row>
    <row r="6">
      <c r="A6" s="54" t="s">
        <v>223</v>
      </c>
      <c r="I6" s="317"/>
    </row>
    <row r="7">
      <c r="A7" s="318" t="s">
        <v>377</v>
      </c>
      <c r="I7" s="319"/>
    </row>
    <row r="8">
      <c r="A8" s="318" t="s">
        <v>378</v>
      </c>
      <c r="I8" s="319"/>
    </row>
    <row r="9">
      <c r="B9" s="320"/>
      <c r="C9" s="321"/>
      <c r="D9" s="322"/>
      <c r="E9" s="322"/>
      <c r="F9" s="322"/>
      <c r="G9" s="322"/>
      <c r="H9" s="322"/>
      <c r="I9" s="322"/>
    </row>
    <row r="10">
      <c r="B10" s="320"/>
      <c r="C10" s="321"/>
      <c r="D10" s="322"/>
      <c r="E10" s="322"/>
      <c r="F10" s="322"/>
      <c r="G10" s="322"/>
      <c r="H10" s="322"/>
      <c r="I10" s="322"/>
    </row>
    <row r="11">
      <c r="C11" s="69"/>
      <c r="H11" s="322"/>
      <c r="I11" s="322"/>
    </row>
    <row r="12">
      <c r="B12" s="320" t="s">
        <v>231</v>
      </c>
      <c r="C12" s="320"/>
      <c r="D12" s="69" t="s">
        <v>227</v>
      </c>
      <c r="E12" s="495" t="s">
        <v>61</v>
      </c>
      <c r="F12" s="496" t="s">
        <v>76</v>
      </c>
      <c r="G12" s="322"/>
      <c r="H12" s="322"/>
      <c r="I12" s="322"/>
    </row>
    <row r="13">
      <c r="B13" s="1" t="s">
        <v>232</v>
      </c>
      <c r="D13" s="322"/>
      <c r="E13" s="327">
        <v>38000.0</v>
      </c>
      <c r="F13" s="327">
        <v>38000.0</v>
      </c>
      <c r="G13" s="328" t="s">
        <v>233</v>
      </c>
      <c r="H13" s="322"/>
      <c r="I13" s="322"/>
    </row>
    <row r="14">
      <c r="B14" s="329"/>
      <c r="D14" s="322"/>
      <c r="E14" s="330"/>
      <c r="G14" s="322"/>
      <c r="H14" s="322"/>
      <c r="I14" s="322"/>
    </row>
    <row r="15">
      <c r="B15" s="1" t="s">
        <v>234</v>
      </c>
      <c r="D15" s="322"/>
      <c r="E15" s="327">
        <v>11000.0</v>
      </c>
      <c r="F15" s="327">
        <v>11000.0</v>
      </c>
      <c r="G15" s="328" t="s">
        <v>233</v>
      </c>
      <c r="H15" s="322"/>
      <c r="I15" s="322"/>
    </row>
    <row r="16">
      <c r="B16" s="329"/>
      <c r="D16" s="322"/>
      <c r="E16" s="330"/>
      <c r="F16" s="330"/>
      <c r="G16" s="322"/>
      <c r="H16" s="322"/>
      <c r="I16" s="322"/>
    </row>
    <row r="17">
      <c r="B17" s="1" t="s">
        <v>235</v>
      </c>
      <c r="D17" s="322"/>
      <c r="E17" s="330">
        <v>13000.0</v>
      </c>
      <c r="F17" s="330">
        <v>35000.0</v>
      </c>
      <c r="G17" s="328" t="s">
        <v>233</v>
      </c>
      <c r="H17" s="322"/>
      <c r="I17" s="322"/>
    </row>
    <row r="18">
      <c r="B18" s="329"/>
      <c r="D18" s="332"/>
      <c r="E18" s="331"/>
      <c r="G18" s="322"/>
      <c r="H18" s="322"/>
      <c r="I18" s="322"/>
    </row>
    <row r="19">
      <c r="D19" s="332" t="s">
        <v>236</v>
      </c>
      <c r="E19" s="333">
        <v>65000.0</v>
      </c>
      <c r="F19" s="331">
        <f>SUM(F13:F17)</f>
        <v>84000</v>
      </c>
      <c r="G19" s="328" t="s">
        <v>233</v>
      </c>
      <c r="H19" s="322"/>
      <c r="I19" s="322"/>
    </row>
    <row r="20" ht="10.5" customHeight="1">
      <c r="D20" s="322"/>
      <c r="E20" s="322"/>
      <c r="F20" s="322"/>
      <c r="G20" s="322"/>
      <c r="H20" s="322"/>
      <c r="I20" s="322"/>
    </row>
    <row r="21">
      <c r="B21" s="1"/>
      <c r="D21" s="322"/>
      <c r="E21" s="43"/>
      <c r="F21" s="45"/>
      <c r="G21" s="322"/>
      <c r="H21" s="322"/>
      <c r="I21" s="328"/>
    </row>
    <row r="22">
      <c r="A22" s="334"/>
      <c r="B22" s="497" t="s">
        <v>237</v>
      </c>
      <c r="C22" s="498"/>
      <c r="D22" s="499"/>
      <c r="E22" s="500" t="s">
        <v>238</v>
      </c>
      <c r="F22" s="501" t="s">
        <v>239</v>
      </c>
      <c r="G22" s="322"/>
      <c r="H22" s="322"/>
      <c r="I22" s="340"/>
    </row>
    <row r="23">
      <c r="B23" s="383" t="s">
        <v>240</v>
      </c>
      <c r="C23" s="384"/>
      <c r="D23" s="385"/>
      <c r="E23" s="344"/>
      <c r="F23" s="344"/>
      <c r="G23" s="322"/>
      <c r="H23" s="322"/>
      <c r="I23" s="322"/>
    </row>
    <row r="24">
      <c r="B24" s="345" t="s">
        <v>241</v>
      </c>
      <c r="C24" s="346"/>
      <c r="D24" s="347"/>
      <c r="E24" s="348" t="s">
        <v>242</v>
      </c>
      <c r="F24" s="349" t="s">
        <v>243</v>
      </c>
      <c r="G24" s="322"/>
      <c r="H24" s="322"/>
      <c r="I24" s="322"/>
    </row>
    <row r="25">
      <c r="B25" s="350"/>
      <c r="C25" s="346"/>
      <c r="D25" s="347"/>
      <c r="E25" s="351"/>
      <c r="F25" s="349"/>
      <c r="G25" s="322"/>
      <c r="H25" s="322"/>
      <c r="I25" s="322"/>
    </row>
    <row r="26">
      <c r="B26" s="345"/>
      <c r="C26" s="346"/>
      <c r="D26" s="347"/>
      <c r="E26" s="348"/>
      <c r="F26" s="349"/>
      <c r="G26" s="322"/>
      <c r="H26" s="322"/>
      <c r="I26" s="322"/>
    </row>
    <row r="27">
      <c r="B27" s="345" t="s">
        <v>244</v>
      </c>
      <c r="C27" s="346"/>
      <c r="D27" s="347"/>
      <c r="E27" s="348" t="s">
        <v>245</v>
      </c>
      <c r="F27" s="349" t="s">
        <v>243</v>
      </c>
      <c r="G27" s="322"/>
      <c r="H27" s="322"/>
      <c r="I27" s="322"/>
    </row>
    <row r="28">
      <c r="B28" s="350"/>
      <c r="C28" s="346"/>
      <c r="D28" s="347"/>
      <c r="E28" s="344"/>
      <c r="F28" s="349"/>
      <c r="G28" s="322"/>
      <c r="H28" s="322"/>
      <c r="I28" s="322"/>
    </row>
    <row r="29">
      <c r="B29" s="345"/>
      <c r="C29" s="346"/>
      <c r="D29" s="347"/>
      <c r="E29" s="352"/>
      <c r="F29" s="349"/>
      <c r="G29" s="322"/>
      <c r="H29" s="322"/>
      <c r="I29" s="322"/>
    </row>
    <row r="30">
      <c r="B30" s="345" t="s">
        <v>246</v>
      </c>
      <c r="C30" s="346"/>
      <c r="D30" s="347"/>
      <c r="E30" s="352" t="s">
        <v>247</v>
      </c>
      <c r="F30" s="349" t="s">
        <v>243</v>
      </c>
      <c r="G30" s="322"/>
      <c r="H30" s="322"/>
      <c r="I30" s="322"/>
    </row>
    <row r="31">
      <c r="B31" s="353"/>
      <c r="C31" s="346"/>
      <c r="D31" s="347"/>
      <c r="E31" s="344"/>
      <c r="F31" s="344"/>
      <c r="G31" s="322"/>
      <c r="H31" s="322"/>
      <c r="I31" s="322"/>
    </row>
    <row r="32">
      <c r="B32" s="354" t="s">
        <v>248</v>
      </c>
      <c r="C32" s="355"/>
      <c r="D32" s="356"/>
      <c r="E32" s="357"/>
      <c r="F32" s="357"/>
      <c r="G32" s="322"/>
      <c r="H32" s="322"/>
      <c r="I32" s="322"/>
    </row>
    <row r="33">
      <c r="B33" s="502" t="s">
        <v>249</v>
      </c>
      <c r="C33" s="503"/>
      <c r="D33" s="504"/>
      <c r="E33" s="361"/>
      <c r="F33" s="362"/>
      <c r="G33" s="322"/>
      <c r="H33" s="322"/>
      <c r="I33" s="322"/>
    </row>
    <row r="34">
      <c r="B34" s="466" t="s">
        <v>250</v>
      </c>
      <c r="C34" s="346"/>
      <c r="D34" s="347"/>
      <c r="E34" s="347"/>
      <c r="F34" s="362"/>
      <c r="G34" s="322"/>
      <c r="H34" s="322"/>
      <c r="I34" s="322"/>
    </row>
    <row r="35">
      <c r="B35" s="345" t="s">
        <v>241</v>
      </c>
      <c r="C35" s="346"/>
      <c r="D35" s="347"/>
      <c r="E35" s="366" t="s">
        <v>251</v>
      </c>
      <c r="F35" s="367" t="s">
        <v>252</v>
      </c>
      <c r="G35" s="322"/>
      <c r="H35" s="322"/>
      <c r="I35" s="322"/>
    </row>
    <row r="36">
      <c r="B36" s="350"/>
      <c r="C36" s="346"/>
      <c r="D36" s="347"/>
      <c r="F36" s="362"/>
      <c r="G36" s="322"/>
      <c r="H36" s="322"/>
      <c r="I36" s="322"/>
    </row>
    <row r="37">
      <c r="B37" s="345" t="s">
        <v>244</v>
      </c>
      <c r="C37" s="346"/>
      <c r="D37" s="347"/>
      <c r="F37" s="367" t="s">
        <v>252</v>
      </c>
      <c r="G37" s="322"/>
      <c r="H37" s="322"/>
      <c r="I37" s="322"/>
    </row>
    <row r="38">
      <c r="B38" s="350"/>
      <c r="C38" s="346"/>
      <c r="D38" s="347"/>
      <c r="E38" s="347"/>
      <c r="F38" s="367"/>
      <c r="G38" s="322"/>
      <c r="H38" s="322"/>
      <c r="I38" s="322"/>
    </row>
    <row r="39">
      <c r="B39" s="345"/>
      <c r="C39" s="346"/>
      <c r="D39" s="347"/>
      <c r="E39" s="347"/>
      <c r="F39" s="362"/>
      <c r="G39" s="322"/>
      <c r="H39" s="322"/>
      <c r="I39" s="322"/>
    </row>
    <row r="40">
      <c r="B40" s="345" t="s">
        <v>253</v>
      </c>
      <c r="C40" s="346"/>
      <c r="D40" s="347"/>
      <c r="E40" s="347"/>
      <c r="F40" s="367" t="s">
        <v>252</v>
      </c>
      <c r="G40" s="322"/>
      <c r="H40" s="322"/>
      <c r="I40" s="322"/>
    </row>
    <row r="41">
      <c r="B41" s="350"/>
      <c r="C41" s="346"/>
      <c r="D41" s="347"/>
      <c r="E41" s="347"/>
      <c r="F41" s="362"/>
      <c r="G41" s="322"/>
      <c r="H41" s="322"/>
      <c r="I41" s="322"/>
    </row>
    <row r="42">
      <c r="B42" s="368"/>
      <c r="C42" s="355"/>
      <c r="D42" s="356"/>
      <c r="E42" s="356"/>
      <c r="F42" s="369"/>
      <c r="G42" s="322"/>
      <c r="H42" s="322"/>
      <c r="I42" s="322"/>
    </row>
    <row r="43" ht="5.25" customHeight="1">
      <c r="D43" s="322"/>
      <c r="E43" s="322"/>
      <c r="F43" s="322"/>
      <c r="G43" s="322"/>
      <c r="H43" s="322"/>
      <c r="I43" s="322"/>
    </row>
    <row r="44">
      <c r="B44" s="370" t="s">
        <v>254</v>
      </c>
      <c r="D44" s="322"/>
      <c r="E44" s="322"/>
      <c r="F44" s="322"/>
      <c r="G44" s="322"/>
      <c r="H44" s="322"/>
      <c r="I44" s="322"/>
    </row>
    <row r="45">
      <c r="B45" s="370" t="s">
        <v>255</v>
      </c>
      <c r="D45" s="322"/>
      <c r="E45" s="322"/>
      <c r="F45" s="322"/>
      <c r="G45" s="322"/>
      <c r="H45" s="322"/>
      <c r="I45" s="322"/>
    </row>
    <row r="46">
      <c r="B46" s="371"/>
      <c r="D46" s="322"/>
      <c r="E46" s="322"/>
      <c r="F46" s="322"/>
      <c r="G46" s="322"/>
      <c r="H46" s="322"/>
      <c r="I46" s="322"/>
    </row>
    <row r="47">
      <c r="B47" s="370" t="s">
        <v>256</v>
      </c>
      <c r="D47" s="322"/>
      <c r="E47" s="322"/>
      <c r="F47" s="322"/>
      <c r="G47" s="322"/>
      <c r="H47" s="322"/>
      <c r="I47" s="322"/>
    </row>
    <row r="48">
      <c r="B48" s="371"/>
      <c r="D48" s="322"/>
      <c r="E48" s="322"/>
      <c r="F48" s="322"/>
      <c r="G48" s="322"/>
      <c r="H48" s="322"/>
      <c r="I48" s="322"/>
    </row>
    <row r="49">
      <c r="B49" s="370" t="s">
        <v>257</v>
      </c>
      <c r="D49" s="322"/>
      <c r="E49" s="322"/>
      <c r="F49" s="322"/>
      <c r="G49" s="322"/>
      <c r="H49" s="322"/>
      <c r="I49" s="322"/>
    </row>
    <row r="50">
      <c r="B50" s="370" t="s">
        <v>258</v>
      </c>
      <c r="D50" s="322"/>
      <c r="E50" s="322"/>
      <c r="F50" s="322"/>
      <c r="G50" s="322"/>
      <c r="H50" s="322"/>
      <c r="I50" s="322"/>
    </row>
    <row r="51">
      <c r="B51" s="370" t="s">
        <v>259</v>
      </c>
      <c r="D51" s="322"/>
      <c r="E51" s="322"/>
      <c r="F51" s="322"/>
      <c r="G51" s="322"/>
      <c r="H51" s="322"/>
      <c r="I51" s="322"/>
    </row>
    <row r="52">
      <c r="B52" s="371"/>
      <c r="D52" s="322"/>
      <c r="E52" s="322"/>
      <c r="F52" s="322"/>
      <c r="G52" s="322"/>
      <c r="H52" s="322"/>
      <c r="I52" s="322"/>
    </row>
    <row r="53">
      <c r="B53" s="370" t="s">
        <v>260</v>
      </c>
      <c r="D53" s="322"/>
      <c r="E53" s="322"/>
      <c r="F53" s="322"/>
      <c r="G53" s="322"/>
      <c r="H53" s="322"/>
      <c r="I53" s="322"/>
    </row>
    <row r="54">
      <c r="B54" s="1" t="s">
        <v>261</v>
      </c>
      <c r="D54" s="322"/>
      <c r="E54" s="322"/>
      <c r="F54" s="322"/>
      <c r="G54" s="322"/>
      <c r="H54" s="322"/>
      <c r="I54" s="322"/>
    </row>
    <row r="55">
      <c r="B55" s="1"/>
      <c r="D55" s="322"/>
      <c r="E55" s="322"/>
      <c r="F55" s="322"/>
      <c r="G55" s="322"/>
      <c r="H55" s="322"/>
      <c r="I55" s="322"/>
    </row>
    <row r="56">
      <c r="B56" s="1"/>
      <c r="D56" s="322"/>
      <c r="E56" s="322"/>
      <c r="F56" s="322"/>
      <c r="G56" s="322"/>
      <c r="H56" s="322"/>
      <c r="I56" s="322"/>
    </row>
    <row r="57">
      <c r="B57" s="1"/>
      <c r="D57" s="322"/>
      <c r="E57" s="322"/>
      <c r="F57" s="322"/>
      <c r="G57" s="322"/>
      <c r="H57" s="322"/>
      <c r="I57" s="322"/>
    </row>
    <row r="58">
      <c r="B58" s="1"/>
      <c r="D58" s="322"/>
      <c r="E58" s="322"/>
      <c r="F58" s="322"/>
      <c r="G58" s="322"/>
      <c r="H58" s="322"/>
      <c r="I58" s="322"/>
    </row>
    <row r="59">
      <c r="B59" s="1"/>
      <c r="D59" s="322"/>
      <c r="E59" s="322"/>
      <c r="F59" s="322"/>
      <c r="G59" s="322"/>
      <c r="H59" s="322"/>
      <c r="I59" s="322"/>
    </row>
    <row r="60">
      <c r="B60" s="317"/>
      <c r="C60" s="317"/>
      <c r="D60" s="317"/>
      <c r="E60" s="317"/>
      <c r="F60" s="317"/>
      <c r="G60" s="317"/>
      <c r="H60" s="317"/>
      <c r="I60" s="322"/>
    </row>
    <row r="61">
      <c r="B61" s="317"/>
      <c r="C61" s="317"/>
      <c r="D61" s="317"/>
      <c r="E61" s="317"/>
      <c r="F61" s="317"/>
      <c r="G61" s="317"/>
      <c r="H61" s="317"/>
      <c r="I61" s="322"/>
    </row>
    <row r="62">
      <c r="B62" s="317"/>
      <c r="C62" s="317"/>
      <c r="D62" s="317"/>
      <c r="E62" s="317"/>
      <c r="F62" s="317"/>
      <c r="G62" s="317"/>
      <c r="H62" s="317"/>
      <c r="I62" s="322"/>
    </row>
    <row r="63">
      <c r="B63" s="317"/>
      <c r="C63" s="317"/>
      <c r="D63" s="317"/>
      <c r="E63" s="317"/>
      <c r="F63" s="317"/>
      <c r="G63" s="317"/>
      <c r="H63" s="317"/>
      <c r="I63" s="322"/>
    </row>
    <row r="64">
      <c r="B64" s="317"/>
      <c r="C64" s="317"/>
      <c r="D64" s="317"/>
      <c r="E64" s="317"/>
      <c r="F64" s="317"/>
      <c r="G64" s="317"/>
      <c r="H64" s="317"/>
      <c r="I64" s="322"/>
    </row>
    <row r="65">
      <c r="B65" s="318"/>
      <c r="C65" s="318"/>
      <c r="D65" s="318"/>
      <c r="E65" s="318"/>
      <c r="F65" s="318"/>
      <c r="G65" s="318"/>
      <c r="H65" s="318"/>
      <c r="I65" s="322"/>
    </row>
    <row r="66">
      <c r="A66" s="372" t="s">
        <v>262</v>
      </c>
      <c r="I66" s="322"/>
    </row>
    <row r="67">
      <c r="A67" s="318" t="s">
        <v>263</v>
      </c>
      <c r="I67" s="322"/>
    </row>
    <row r="68">
      <c r="A68" s="318" t="s">
        <v>264</v>
      </c>
      <c r="I68" s="322"/>
    </row>
    <row r="69">
      <c r="B69" s="373"/>
      <c r="C69" s="321"/>
      <c r="D69" s="322"/>
      <c r="E69" s="322"/>
      <c r="F69" s="322"/>
      <c r="G69" s="322"/>
      <c r="H69" s="322"/>
      <c r="I69" s="322"/>
    </row>
    <row r="70">
      <c r="B70" s="373"/>
      <c r="C70" s="321"/>
      <c r="D70" s="322"/>
      <c r="E70" s="322"/>
      <c r="F70" s="322"/>
      <c r="G70" s="322"/>
      <c r="H70" s="322"/>
      <c r="I70" s="322"/>
    </row>
    <row r="71">
      <c r="D71" s="322"/>
      <c r="E71" s="322"/>
      <c r="F71" s="322"/>
      <c r="G71" s="322"/>
      <c r="H71" s="322"/>
      <c r="I71" s="322"/>
    </row>
    <row r="72">
      <c r="B72" s="373" t="s">
        <v>266</v>
      </c>
      <c r="D72" s="69" t="s">
        <v>265</v>
      </c>
      <c r="E72" s="376" t="s">
        <v>268</v>
      </c>
      <c r="F72" s="377" t="s">
        <v>269</v>
      </c>
      <c r="G72" s="322"/>
      <c r="H72" s="322"/>
      <c r="I72" s="322"/>
    </row>
    <row r="73">
      <c r="B73" s="1" t="s">
        <v>270</v>
      </c>
      <c r="D73" s="322"/>
      <c r="E73" s="330">
        <f t="shared" ref="E73:F73" si="1">E13</f>
        <v>38000</v>
      </c>
      <c r="F73" s="330">
        <f t="shared" si="1"/>
        <v>38000</v>
      </c>
      <c r="G73" s="328" t="s">
        <v>170</v>
      </c>
      <c r="H73" s="322"/>
      <c r="I73" s="322"/>
    </row>
    <row r="74">
      <c r="B74" s="329"/>
      <c r="D74" s="322"/>
      <c r="E74" s="330"/>
      <c r="G74" s="322"/>
      <c r="H74" s="322"/>
      <c r="I74" s="322"/>
    </row>
    <row r="75">
      <c r="B75" s="1" t="s">
        <v>271</v>
      </c>
      <c r="D75" s="322"/>
      <c r="E75" s="330">
        <f t="shared" ref="E75:F75" si="2">E15</f>
        <v>11000</v>
      </c>
      <c r="F75" s="330">
        <f t="shared" si="2"/>
        <v>11000</v>
      </c>
      <c r="G75" s="328" t="s">
        <v>170</v>
      </c>
      <c r="H75" s="322"/>
      <c r="I75" s="322"/>
    </row>
    <row r="76">
      <c r="B76" s="329"/>
      <c r="D76" s="322"/>
      <c r="E76" s="330"/>
      <c r="G76" s="322"/>
      <c r="H76" s="322"/>
      <c r="I76" s="322"/>
    </row>
    <row r="77">
      <c r="B77" s="1" t="s">
        <v>272</v>
      </c>
      <c r="D77" s="322"/>
      <c r="E77" s="330">
        <f t="shared" ref="E77:F77" si="3">E17</f>
        <v>13000</v>
      </c>
      <c r="F77" s="330">
        <f t="shared" si="3"/>
        <v>35000</v>
      </c>
      <c r="G77" s="328" t="s">
        <v>170</v>
      </c>
      <c r="H77" s="322"/>
      <c r="I77" s="322"/>
    </row>
    <row r="78">
      <c r="B78" s="329"/>
      <c r="D78" s="332"/>
      <c r="E78" s="331"/>
      <c r="G78" s="322"/>
      <c r="H78" s="322"/>
      <c r="I78" s="322"/>
    </row>
    <row r="79">
      <c r="D79" s="467" t="s">
        <v>273</v>
      </c>
      <c r="E79" s="331">
        <f t="shared" ref="E79:F79" si="4">SUM(E73:E77)</f>
        <v>62000</v>
      </c>
      <c r="F79" s="331">
        <f t="shared" si="4"/>
        <v>84000</v>
      </c>
      <c r="G79" s="328" t="s">
        <v>170</v>
      </c>
      <c r="H79" s="322"/>
      <c r="I79" s="322"/>
    </row>
    <row r="80">
      <c r="D80" s="322"/>
      <c r="E80" s="322"/>
      <c r="F80" s="322"/>
      <c r="G80" s="322"/>
      <c r="H80" s="322"/>
      <c r="I80" s="322"/>
    </row>
    <row r="81">
      <c r="B81" s="1"/>
      <c r="D81" s="322"/>
      <c r="E81" s="43"/>
      <c r="F81" s="45"/>
      <c r="G81" s="322"/>
      <c r="H81" s="322"/>
      <c r="I81" s="322"/>
    </row>
    <row r="82">
      <c r="B82" s="379" t="s">
        <v>274</v>
      </c>
      <c r="C82" s="380"/>
      <c r="D82" s="381"/>
      <c r="E82" s="382" t="s">
        <v>275</v>
      </c>
      <c r="F82" s="382" t="s">
        <v>276</v>
      </c>
      <c r="G82" s="322"/>
      <c r="H82" s="322"/>
      <c r="I82" s="322"/>
    </row>
    <row r="83">
      <c r="B83" s="383" t="s">
        <v>277</v>
      </c>
      <c r="C83" s="384"/>
      <c r="D83" s="385"/>
      <c r="E83" s="344"/>
      <c r="F83" s="344"/>
      <c r="G83" s="322"/>
      <c r="H83" s="322"/>
      <c r="I83" s="322"/>
    </row>
    <row r="84">
      <c r="B84" s="345" t="s">
        <v>278</v>
      </c>
      <c r="C84" s="346"/>
      <c r="D84" s="347"/>
      <c r="E84" s="348" t="s">
        <v>242</v>
      </c>
      <c r="F84" s="349" t="s">
        <v>243</v>
      </c>
      <c r="G84" s="322"/>
      <c r="H84" s="322"/>
      <c r="I84" s="322"/>
    </row>
    <row r="85">
      <c r="B85" s="350"/>
      <c r="C85" s="346"/>
      <c r="D85" s="347"/>
      <c r="E85" s="351"/>
      <c r="F85" s="349"/>
      <c r="G85" s="322"/>
      <c r="H85" s="322"/>
      <c r="I85" s="322"/>
    </row>
    <row r="86">
      <c r="B86" s="345"/>
      <c r="C86" s="346"/>
      <c r="D86" s="347"/>
      <c r="E86" s="348"/>
      <c r="F86" s="349"/>
      <c r="G86" s="322"/>
      <c r="H86" s="322"/>
      <c r="I86" s="322"/>
    </row>
    <row r="87">
      <c r="B87" s="345" t="s">
        <v>279</v>
      </c>
      <c r="C87" s="346"/>
      <c r="D87" s="347"/>
      <c r="E87" s="348" t="s">
        <v>245</v>
      </c>
      <c r="F87" s="349" t="s">
        <v>243</v>
      </c>
      <c r="G87" s="322"/>
      <c r="H87" s="322"/>
      <c r="I87" s="322"/>
    </row>
    <row r="88">
      <c r="B88" s="350"/>
      <c r="C88" s="346"/>
      <c r="D88" s="347"/>
      <c r="E88" s="344"/>
      <c r="F88" s="349"/>
      <c r="G88" s="322"/>
      <c r="H88" s="322"/>
      <c r="I88" s="322"/>
    </row>
    <row r="89">
      <c r="B89" s="345"/>
      <c r="C89" s="346"/>
      <c r="D89" s="347"/>
      <c r="E89" s="352"/>
      <c r="F89" s="349"/>
      <c r="G89" s="322"/>
      <c r="H89" s="322"/>
      <c r="I89" s="322"/>
    </row>
    <row r="90">
      <c r="B90" s="345" t="s">
        <v>280</v>
      </c>
      <c r="C90" s="346"/>
      <c r="D90" s="347"/>
      <c r="E90" s="352" t="s">
        <v>247</v>
      </c>
      <c r="F90" s="349" t="s">
        <v>243</v>
      </c>
      <c r="G90" s="322"/>
      <c r="H90" s="322"/>
      <c r="I90" s="322"/>
    </row>
    <row r="91">
      <c r="B91" s="353"/>
      <c r="C91" s="346"/>
      <c r="D91" s="347"/>
      <c r="E91" s="344"/>
      <c r="F91" s="344"/>
      <c r="G91" s="322"/>
      <c r="H91" s="322"/>
      <c r="I91" s="322"/>
    </row>
    <row r="92">
      <c r="B92" s="354" t="s">
        <v>248</v>
      </c>
      <c r="C92" s="355"/>
      <c r="D92" s="356"/>
      <c r="E92" s="357"/>
      <c r="F92" s="357"/>
      <c r="G92" s="322"/>
      <c r="H92" s="322"/>
      <c r="I92" s="322"/>
    </row>
    <row r="93">
      <c r="B93" s="386" t="s">
        <v>281</v>
      </c>
      <c r="C93" s="384"/>
      <c r="D93" s="385"/>
      <c r="E93" s="361"/>
      <c r="F93" s="361"/>
      <c r="G93" s="322"/>
      <c r="H93" s="322"/>
      <c r="I93" s="322"/>
    </row>
    <row r="94">
      <c r="B94" s="345" t="s">
        <v>278</v>
      </c>
      <c r="C94" s="346"/>
      <c r="D94" s="347"/>
      <c r="E94" s="387" t="s">
        <v>251</v>
      </c>
      <c r="F94" s="361" t="s">
        <v>282</v>
      </c>
      <c r="G94" s="322"/>
      <c r="H94" s="322"/>
      <c r="I94" s="322"/>
    </row>
    <row r="95">
      <c r="B95" s="350"/>
      <c r="D95" s="346"/>
      <c r="E95" s="19"/>
      <c r="F95" s="361"/>
      <c r="G95" s="322"/>
      <c r="H95" s="322"/>
      <c r="I95" s="322"/>
    </row>
    <row r="96">
      <c r="B96" s="345" t="s">
        <v>279</v>
      </c>
      <c r="C96" s="346"/>
      <c r="D96" s="347"/>
      <c r="E96" s="21"/>
      <c r="F96" s="361" t="s">
        <v>282</v>
      </c>
      <c r="G96" s="322"/>
      <c r="H96" s="322"/>
      <c r="I96" s="322"/>
    </row>
    <row r="97">
      <c r="B97" s="350"/>
      <c r="C97" s="346"/>
      <c r="D97" s="347"/>
      <c r="E97" s="361"/>
      <c r="F97" s="388"/>
      <c r="G97" s="322"/>
      <c r="H97" s="322"/>
      <c r="I97" s="322"/>
    </row>
    <row r="98">
      <c r="B98" s="345"/>
      <c r="C98" s="346"/>
      <c r="D98" s="347"/>
      <c r="E98" s="361"/>
      <c r="F98" s="361"/>
      <c r="G98" s="322"/>
      <c r="H98" s="322"/>
      <c r="I98" s="322"/>
    </row>
    <row r="99">
      <c r="B99" s="389" t="s">
        <v>283</v>
      </c>
      <c r="C99" s="346"/>
      <c r="D99" s="347"/>
      <c r="E99" s="361"/>
      <c r="F99" s="361" t="s">
        <v>282</v>
      </c>
      <c r="G99" s="322"/>
      <c r="H99" s="322"/>
      <c r="I99" s="322"/>
    </row>
    <row r="100">
      <c r="B100" s="350"/>
      <c r="C100" s="346"/>
      <c r="D100" s="347"/>
      <c r="E100" s="361"/>
      <c r="F100" s="361"/>
      <c r="G100" s="322"/>
      <c r="H100" s="322"/>
      <c r="I100" s="322"/>
    </row>
    <row r="101">
      <c r="B101" s="368"/>
      <c r="C101" s="355"/>
      <c r="D101" s="356"/>
      <c r="E101" s="369"/>
      <c r="F101" s="369"/>
      <c r="G101" s="322"/>
      <c r="H101" s="322"/>
      <c r="I101" s="322"/>
    </row>
    <row r="102">
      <c r="D102" s="322"/>
      <c r="E102" s="322"/>
      <c r="F102" s="322"/>
      <c r="G102" s="322"/>
      <c r="H102" s="322"/>
      <c r="I102" s="322"/>
    </row>
    <row r="103">
      <c r="B103" s="370" t="s">
        <v>254</v>
      </c>
      <c r="D103" s="322"/>
      <c r="E103" s="322"/>
      <c r="F103" s="322"/>
      <c r="G103" s="322"/>
      <c r="H103" s="322"/>
      <c r="I103" s="322"/>
    </row>
    <row r="104">
      <c r="B104" s="370" t="s">
        <v>255</v>
      </c>
      <c r="D104" s="322"/>
      <c r="E104" s="322"/>
      <c r="F104" s="322"/>
      <c r="G104" s="322"/>
      <c r="H104" s="322"/>
      <c r="I104" s="322"/>
    </row>
    <row r="105">
      <c r="B105" s="371"/>
      <c r="D105" s="322"/>
      <c r="E105" s="322"/>
      <c r="F105" s="322"/>
      <c r="G105" s="322"/>
      <c r="H105" s="322"/>
      <c r="I105" s="322"/>
    </row>
    <row r="106">
      <c r="B106" s="370" t="s">
        <v>256</v>
      </c>
      <c r="D106" s="322"/>
      <c r="E106" s="322"/>
      <c r="F106" s="322"/>
      <c r="G106" s="322"/>
      <c r="H106" s="322"/>
      <c r="I106" s="322"/>
    </row>
    <row r="107">
      <c r="B107" s="371"/>
      <c r="D107" s="322"/>
      <c r="E107" s="322"/>
      <c r="F107" s="322"/>
      <c r="G107" s="322"/>
      <c r="H107" s="322"/>
      <c r="I107" s="322"/>
    </row>
    <row r="108">
      <c r="B108" s="370" t="s">
        <v>257</v>
      </c>
      <c r="D108" s="322"/>
      <c r="E108" s="322"/>
      <c r="F108" s="322"/>
      <c r="G108" s="322"/>
      <c r="H108" s="322"/>
      <c r="I108" s="322"/>
    </row>
    <row r="109">
      <c r="B109" s="370" t="s">
        <v>258</v>
      </c>
      <c r="D109" s="322"/>
      <c r="E109" s="322"/>
      <c r="F109" s="322"/>
      <c r="G109" s="322"/>
      <c r="H109" s="322"/>
      <c r="I109" s="322"/>
    </row>
    <row r="110">
      <c r="B110" s="370" t="s">
        <v>259</v>
      </c>
      <c r="D110" s="322"/>
      <c r="E110" s="322"/>
      <c r="F110" s="322"/>
      <c r="G110" s="322"/>
      <c r="H110" s="322"/>
      <c r="I110" s="322"/>
    </row>
    <row r="111">
      <c r="B111" s="371"/>
      <c r="D111" s="322"/>
      <c r="E111" s="322"/>
      <c r="F111" s="322"/>
      <c r="G111" s="322"/>
      <c r="H111" s="322"/>
      <c r="I111" s="322"/>
    </row>
    <row r="112">
      <c r="B112" s="370" t="s">
        <v>260</v>
      </c>
      <c r="D112" s="322"/>
      <c r="E112" s="322"/>
      <c r="F112" s="322"/>
      <c r="G112" s="322"/>
      <c r="H112" s="322"/>
      <c r="I112" s="322"/>
    </row>
    <row r="113">
      <c r="B113" s="1" t="s">
        <v>261</v>
      </c>
      <c r="D113" s="322"/>
      <c r="E113" s="322"/>
      <c r="F113" s="322"/>
      <c r="G113" s="322"/>
      <c r="H113" s="322"/>
      <c r="I113" s="322"/>
    </row>
    <row r="114">
      <c r="B114" s="1"/>
      <c r="D114" s="322"/>
      <c r="E114" s="322"/>
      <c r="F114" s="322"/>
      <c r="G114" s="322"/>
      <c r="H114" s="322"/>
      <c r="I114" s="322"/>
    </row>
  </sheetData>
  <mergeCells count="10">
    <mergeCell ref="E35:E37"/>
    <mergeCell ref="E81:F81"/>
    <mergeCell ref="E94:E96"/>
    <mergeCell ref="A6:H6"/>
    <mergeCell ref="A7:H7"/>
    <mergeCell ref="A8:H8"/>
    <mergeCell ref="E21:F21"/>
    <mergeCell ref="A66:H66"/>
    <mergeCell ref="A67:H67"/>
    <mergeCell ref="A68:H68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5" width="8.43"/>
    <col customWidth="1" min="6" max="6" width="22.57"/>
    <col customWidth="1" min="7" max="7" width="14.43"/>
    <col customWidth="1" min="8" max="8" width="22.57"/>
    <col customWidth="1" min="9" max="9" width="14.43"/>
    <col customWidth="1" min="10" max="10" width="22.57"/>
    <col customWidth="1" min="11" max="11" width="2.14"/>
  </cols>
  <sheetData>
    <row r="1">
      <c r="B1" s="317"/>
      <c r="C1" s="317"/>
      <c r="D1" s="317"/>
      <c r="E1" s="317"/>
      <c r="F1" s="317"/>
      <c r="G1" s="317"/>
      <c r="H1" s="317"/>
      <c r="I1" s="317"/>
      <c r="J1" s="317"/>
      <c r="K1" s="317"/>
    </row>
    <row r="2">
      <c r="B2" s="317"/>
      <c r="C2" s="317"/>
      <c r="D2" s="317"/>
      <c r="E2" s="317"/>
      <c r="F2" s="317"/>
      <c r="G2" s="317"/>
      <c r="H2" s="317"/>
      <c r="I2" s="317"/>
      <c r="J2" s="317"/>
      <c r="K2" s="317"/>
    </row>
    <row r="3">
      <c r="B3" s="317"/>
      <c r="C3" s="317"/>
      <c r="D3" s="317"/>
      <c r="E3" s="317"/>
      <c r="F3" s="317"/>
      <c r="G3" s="317"/>
      <c r="H3" s="317"/>
      <c r="I3" s="317"/>
      <c r="J3" s="317"/>
      <c r="K3" s="317"/>
    </row>
    <row r="4">
      <c r="B4" s="317"/>
      <c r="C4" s="317"/>
      <c r="D4" s="317"/>
      <c r="E4" s="317"/>
      <c r="F4" s="317"/>
      <c r="G4" s="317"/>
      <c r="H4" s="317"/>
      <c r="I4" s="317"/>
      <c r="J4" s="317"/>
      <c r="K4" s="317"/>
    </row>
    <row r="5">
      <c r="B5" s="318"/>
      <c r="C5" s="318"/>
      <c r="D5" s="318"/>
      <c r="E5" s="318"/>
      <c r="F5" s="318"/>
      <c r="G5" s="318"/>
      <c r="H5" s="318"/>
      <c r="I5" s="318"/>
      <c r="J5" s="318"/>
      <c r="K5" s="317"/>
    </row>
    <row r="6">
      <c r="A6" s="54" t="s">
        <v>223</v>
      </c>
      <c r="K6" s="317"/>
    </row>
    <row r="7">
      <c r="A7" s="318" t="s">
        <v>379</v>
      </c>
      <c r="K7" s="319"/>
    </row>
    <row r="8">
      <c r="A8" s="318" t="s">
        <v>380</v>
      </c>
      <c r="K8" s="319"/>
    </row>
    <row r="9">
      <c r="B9" s="320" t="s">
        <v>227</v>
      </c>
      <c r="C9" s="321" t="s">
        <v>61</v>
      </c>
      <c r="D9" s="322"/>
      <c r="E9" s="322"/>
      <c r="F9" s="322"/>
      <c r="G9" s="322"/>
      <c r="H9" s="322"/>
      <c r="I9" s="322"/>
      <c r="J9" s="322"/>
      <c r="K9" s="322"/>
    </row>
    <row r="10">
      <c r="B10" s="320" t="s">
        <v>229</v>
      </c>
      <c r="C10" s="321" t="s">
        <v>379</v>
      </c>
      <c r="D10" s="322"/>
      <c r="E10" s="322"/>
      <c r="F10" s="322"/>
      <c r="G10" s="322"/>
      <c r="H10" s="322"/>
      <c r="I10" s="322"/>
      <c r="J10" s="322"/>
      <c r="K10" s="322"/>
    </row>
    <row r="11">
      <c r="B11" s="320" t="s">
        <v>338</v>
      </c>
      <c r="D11" s="322"/>
      <c r="E11" s="322"/>
      <c r="F11" s="322"/>
      <c r="G11" s="322"/>
      <c r="H11" s="322"/>
      <c r="I11" s="322"/>
      <c r="J11" s="322"/>
      <c r="K11" s="322"/>
    </row>
    <row r="12">
      <c r="B12" s="1" t="s">
        <v>232</v>
      </c>
      <c r="D12" s="322"/>
      <c r="E12" s="330">
        <v>46000.0</v>
      </c>
      <c r="F12" s="328" t="s">
        <v>233</v>
      </c>
      <c r="G12" s="322"/>
      <c r="H12" s="322"/>
      <c r="I12" s="322"/>
      <c r="J12" s="322"/>
      <c r="K12" s="322"/>
    </row>
    <row r="13">
      <c r="B13" s="329"/>
      <c r="D13" s="322"/>
      <c r="E13" s="330"/>
      <c r="F13" s="322"/>
      <c r="G13" s="322"/>
      <c r="H13" s="322"/>
      <c r="I13" s="322"/>
      <c r="J13" s="322"/>
      <c r="K13" s="322"/>
    </row>
    <row r="14">
      <c r="B14" s="1" t="s">
        <v>234</v>
      </c>
      <c r="D14" s="322"/>
      <c r="E14" s="330">
        <v>8000.0</v>
      </c>
      <c r="F14" s="328" t="s">
        <v>233</v>
      </c>
      <c r="G14" s="322"/>
      <c r="H14" s="322"/>
      <c r="I14" s="322"/>
      <c r="J14" s="322"/>
      <c r="K14" s="322"/>
    </row>
    <row r="15">
      <c r="B15" s="329"/>
      <c r="D15" s="322"/>
      <c r="E15" s="330"/>
      <c r="F15" s="322"/>
      <c r="G15" s="322"/>
      <c r="H15" s="322"/>
      <c r="I15" s="322"/>
      <c r="J15" s="322"/>
      <c r="K15" s="322"/>
    </row>
    <row r="16">
      <c r="B16" s="1" t="s">
        <v>235</v>
      </c>
      <c r="D16" s="322"/>
      <c r="E16" s="330">
        <v>13000.0</v>
      </c>
      <c r="F16" s="328" t="s">
        <v>233</v>
      </c>
      <c r="G16" s="322"/>
      <c r="H16" s="322"/>
      <c r="I16" s="322"/>
      <c r="J16" s="322"/>
      <c r="K16" s="322"/>
    </row>
    <row r="17">
      <c r="B17" s="329"/>
      <c r="D17" s="332"/>
      <c r="E17" s="331"/>
      <c r="F17" s="322"/>
      <c r="G17" s="322"/>
      <c r="H17" s="322"/>
      <c r="I17" s="322"/>
      <c r="J17" s="322"/>
      <c r="K17" s="322"/>
    </row>
    <row r="18">
      <c r="D18" s="332" t="s">
        <v>236</v>
      </c>
      <c r="E18" s="331">
        <f>SUM(E12:E16)</f>
        <v>67000</v>
      </c>
      <c r="F18" s="328" t="s">
        <v>233</v>
      </c>
      <c r="G18" s="322"/>
      <c r="H18" s="322"/>
      <c r="I18" s="322"/>
      <c r="J18" s="322"/>
      <c r="K18" s="322"/>
    </row>
    <row r="19" ht="10.5" customHeight="1">
      <c r="D19" s="322"/>
      <c r="E19" s="322"/>
      <c r="F19" s="322"/>
      <c r="G19" s="322"/>
      <c r="H19" s="322"/>
      <c r="I19" s="322"/>
      <c r="J19" s="322"/>
      <c r="K19" s="322"/>
    </row>
    <row r="20">
      <c r="B20" s="1"/>
      <c r="D20" s="322"/>
      <c r="E20" s="43" t="s">
        <v>163</v>
      </c>
      <c r="F20" s="45"/>
      <c r="G20" s="43" t="s">
        <v>162</v>
      </c>
      <c r="H20" s="45"/>
      <c r="I20" s="43" t="s">
        <v>164</v>
      </c>
      <c r="J20" s="45"/>
      <c r="K20" s="328"/>
    </row>
    <row r="21">
      <c r="B21" s="505" t="s">
        <v>237</v>
      </c>
      <c r="C21" s="380"/>
      <c r="D21" s="381"/>
      <c r="E21" s="506" t="s">
        <v>238</v>
      </c>
      <c r="F21" s="506" t="s">
        <v>239</v>
      </c>
      <c r="G21" s="506" t="s">
        <v>238</v>
      </c>
      <c r="H21" s="506" t="s">
        <v>381</v>
      </c>
      <c r="I21" s="506" t="s">
        <v>238</v>
      </c>
      <c r="J21" s="506" t="s">
        <v>381</v>
      </c>
      <c r="K21" s="328"/>
    </row>
    <row r="22">
      <c r="B22" s="383" t="s">
        <v>240</v>
      </c>
      <c r="C22" s="384"/>
      <c r="D22" s="385"/>
      <c r="E22" s="344"/>
      <c r="F22" s="344"/>
      <c r="G22" s="361"/>
      <c r="H22" s="361"/>
      <c r="I22" s="361"/>
      <c r="J22" s="361"/>
      <c r="K22" s="322"/>
    </row>
    <row r="23">
      <c r="B23" s="345" t="s">
        <v>241</v>
      </c>
      <c r="C23" s="346"/>
      <c r="D23" s="347"/>
      <c r="E23" s="348" t="s">
        <v>247</v>
      </c>
      <c r="F23" s="349" t="s">
        <v>339</v>
      </c>
      <c r="G23" s="366" t="s">
        <v>341</v>
      </c>
      <c r="H23" s="388" t="s">
        <v>382</v>
      </c>
      <c r="I23" s="366" t="s">
        <v>383</v>
      </c>
      <c r="J23" s="388" t="s">
        <v>384</v>
      </c>
      <c r="K23" s="322"/>
    </row>
    <row r="24">
      <c r="B24" s="350"/>
      <c r="C24" s="346"/>
      <c r="D24" s="347"/>
      <c r="E24" s="351"/>
      <c r="F24" s="349" t="s">
        <v>340</v>
      </c>
      <c r="G24" s="507"/>
      <c r="H24" s="361"/>
      <c r="I24" s="507"/>
      <c r="J24" s="361"/>
      <c r="K24" s="322"/>
    </row>
    <row r="25">
      <c r="B25" s="345"/>
      <c r="C25" s="346"/>
      <c r="D25" s="347"/>
      <c r="E25" s="348"/>
      <c r="F25" s="349"/>
      <c r="G25" s="507"/>
      <c r="H25" s="388"/>
      <c r="I25" s="507"/>
      <c r="J25" s="388"/>
      <c r="K25" s="322"/>
    </row>
    <row r="26">
      <c r="B26" s="345" t="s">
        <v>244</v>
      </c>
      <c r="C26" s="346"/>
      <c r="D26" s="347"/>
      <c r="E26" s="348" t="s">
        <v>341</v>
      </c>
      <c r="F26" s="349" t="s">
        <v>342</v>
      </c>
      <c r="G26" s="366" t="s">
        <v>383</v>
      </c>
      <c r="H26" s="388" t="s">
        <v>382</v>
      </c>
      <c r="I26" s="366" t="s">
        <v>383</v>
      </c>
      <c r="J26" s="388" t="s">
        <v>384</v>
      </c>
      <c r="K26" s="322"/>
    </row>
    <row r="27">
      <c r="B27" s="350"/>
      <c r="C27" s="346"/>
      <c r="D27" s="347"/>
      <c r="E27" s="344"/>
      <c r="F27" s="349" t="s">
        <v>343</v>
      </c>
      <c r="G27" s="361"/>
      <c r="H27" s="361"/>
      <c r="I27" s="361"/>
      <c r="J27" s="361"/>
      <c r="K27" s="322"/>
    </row>
    <row r="28">
      <c r="B28" s="345"/>
      <c r="C28" s="346"/>
      <c r="D28" s="347"/>
      <c r="E28" s="352"/>
      <c r="F28" s="349"/>
      <c r="G28" s="361"/>
      <c r="H28" s="361"/>
      <c r="I28" s="507"/>
      <c r="J28" s="388"/>
      <c r="K28" s="322"/>
    </row>
    <row r="29">
      <c r="B29" s="345" t="s">
        <v>246</v>
      </c>
      <c r="C29" s="346"/>
      <c r="D29" s="347"/>
      <c r="E29" s="352" t="s">
        <v>247</v>
      </c>
      <c r="F29" s="349" t="s">
        <v>344</v>
      </c>
      <c r="G29" s="508" t="s">
        <v>385</v>
      </c>
      <c r="H29" s="509"/>
      <c r="I29" s="366" t="s">
        <v>386</v>
      </c>
      <c r="J29" s="388" t="s">
        <v>243</v>
      </c>
      <c r="K29" s="322"/>
    </row>
    <row r="30">
      <c r="B30" s="353"/>
      <c r="C30" s="346"/>
      <c r="D30" s="347"/>
      <c r="E30" s="344"/>
      <c r="F30" s="344"/>
      <c r="G30" s="361"/>
      <c r="H30" s="361"/>
      <c r="I30" s="510"/>
      <c r="J30" s="361"/>
      <c r="K30" s="322"/>
    </row>
    <row r="31">
      <c r="B31" s="354" t="s">
        <v>248</v>
      </c>
      <c r="C31" s="355"/>
      <c r="D31" s="356"/>
      <c r="E31" s="357"/>
      <c r="F31" s="357"/>
      <c r="G31" s="369"/>
      <c r="H31" s="369"/>
      <c r="I31" s="369"/>
      <c r="J31" s="369"/>
      <c r="K31" s="322"/>
    </row>
    <row r="32">
      <c r="B32" s="502" t="s">
        <v>249</v>
      </c>
      <c r="C32" s="503"/>
      <c r="D32" s="504"/>
      <c r="E32" s="361"/>
      <c r="F32" s="361"/>
      <c r="G32" s="361"/>
      <c r="H32" s="361"/>
      <c r="I32" s="361"/>
      <c r="J32" s="361"/>
      <c r="K32" s="322"/>
    </row>
    <row r="33">
      <c r="B33" s="461"/>
      <c r="C33" s="346"/>
      <c r="D33" s="347"/>
      <c r="E33" s="361"/>
      <c r="F33" s="361"/>
      <c r="G33" s="361"/>
      <c r="H33" s="361"/>
      <c r="I33" s="361"/>
      <c r="J33" s="361"/>
      <c r="K33" s="322"/>
    </row>
    <row r="34">
      <c r="B34" s="386" t="s">
        <v>345</v>
      </c>
      <c r="C34" s="384"/>
      <c r="D34" s="385"/>
      <c r="E34" s="361"/>
      <c r="F34" s="361"/>
      <c r="G34" s="361"/>
      <c r="H34" s="361"/>
      <c r="I34" s="361"/>
      <c r="J34" s="361"/>
      <c r="K34" s="322"/>
    </row>
    <row r="35">
      <c r="B35" s="464" t="s">
        <v>346</v>
      </c>
      <c r="C35" s="346"/>
      <c r="D35" s="347"/>
      <c r="E35" s="361"/>
      <c r="F35" s="361"/>
      <c r="G35" s="344"/>
      <c r="H35" s="344"/>
      <c r="I35" s="344"/>
      <c r="J35" s="344"/>
      <c r="K35" s="322"/>
    </row>
    <row r="36">
      <c r="B36" s="345" t="s">
        <v>241</v>
      </c>
      <c r="C36" s="346"/>
      <c r="D36" s="347"/>
      <c r="E36" s="388" t="s">
        <v>245</v>
      </c>
      <c r="F36" s="388" t="s">
        <v>347</v>
      </c>
      <c r="G36" s="511"/>
      <c r="H36" s="352" t="s">
        <v>347</v>
      </c>
      <c r="I36" s="344"/>
      <c r="J36" s="352" t="s">
        <v>347</v>
      </c>
      <c r="K36" s="322"/>
    </row>
    <row r="37">
      <c r="B37" s="350"/>
      <c r="C37" s="346"/>
      <c r="D37" s="347"/>
      <c r="E37" s="361"/>
      <c r="F37" s="361"/>
      <c r="G37" s="511"/>
      <c r="H37" s="344"/>
      <c r="I37" s="344"/>
      <c r="J37" s="344"/>
      <c r="K37" s="322"/>
    </row>
    <row r="38">
      <c r="B38" s="345" t="s">
        <v>244</v>
      </c>
      <c r="C38" s="346"/>
      <c r="D38" s="347"/>
      <c r="E38" s="366" t="s">
        <v>251</v>
      </c>
      <c r="F38" s="388" t="s">
        <v>348</v>
      </c>
      <c r="G38" s="511" t="s">
        <v>251</v>
      </c>
      <c r="H38" s="352" t="s">
        <v>387</v>
      </c>
      <c r="I38" s="511" t="s">
        <v>251</v>
      </c>
      <c r="J38" s="512" t="s">
        <v>348</v>
      </c>
      <c r="K38" s="322"/>
    </row>
    <row r="39">
      <c r="B39" s="350"/>
      <c r="C39" s="346"/>
      <c r="D39" s="347"/>
      <c r="E39" s="361"/>
      <c r="F39" s="388"/>
      <c r="G39" s="511"/>
      <c r="H39" s="344"/>
      <c r="I39" s="344"/>
      <c r="J39" s="344"/>
      <c r="K39" s="322"/>
    </row>
    <row r="40" ht="23.25" customHeight="1">
      <c r="B40" s="345" t="s">
        <v>253</v>
      </c>
      <c r="C40" s="346"/>
      <c r="D40" s="347"/>
      <c r="E40" s="388" t="s">
        <v>245</v>
      </c>
      <c r="F40" s="388" t="s">
        <v>349</v>
      </c>
      <c r="G40" s="511"/>
      <c r="H40" s="352" t="s">
        <v>349</v>
      </c>
      <c r="I40" s="344"/>
      <c r="J40" s="352" t="s">
        <v>349</v>
      </c>
      <c r="K40" s="322"/>
    </row>
    <row r="41">
      <c r="B41" s="465"/>
      <c r="C41" s="346"/>
      <c r="D41" s="347"/>
      <c r="E41" s="361"/>
      <c r="F41" s="361"/>
      <c r="G41" s="511"/>
      <c r="H41" s="344"/>
      <c r="I41" s="344"/>
      <c r="J41" s="344"/>
      <c r="K41" s="322"/>
    </row>
    <row r="42">
      <c r="B42" s="466" t="s">
        <v>250</v>
      </c>
      <c r="C42" s="346"/>
      <c r="D42" s="347"/>
      <c r="E42" s="347"/>
      <c r="F42" s="361"/>
      <c r="G42" s="361"/>
      <c r="H42" s="361"/>
      <c r="I42" s="361"/>
      <c r="J42" s="513"/>
      <c r="K42" s="322"/>
    </row>
    <row r="43">
      <c r="B43" s="345" t="s">
        <v>241</v>
      </c>
      <c r="C43" s="346"/>
      <c r="D43" s="347"/>
      <c r="E43" s="366"/>
      <c r="F43" s="388" t="s">
        <v>252</v>
      </c>
      <c r="G43" s="511"/>
      <c r="H43" s="388" t="s">
        <v>252</v>
      </c>
      <c r="I43" s="470"/>
      <c r="J43" s="388" t="s">
        <v>252</v>
      </c>
      <c r="K43" s="322"/>
    </row>
    <row r="44">
      <c r="B44" s="350"/>
      <c r="C44" s="346"/>
      <c r="D44" s="347"/>
      <c r="E44" s="347"/>
      <c r="F44" s="361"/>
      <c r="G44" s="361"/>
      <c r="H44" s="361"/>
      <c r="I44" s="361"/>
      <c r="J44" s="513"/>
      <c r="K44" s="322"/>
    </row>
    <row r="45">
      <c r="B45" s="345" t="s">
        <v>244</v>
      </c>
      <c r="C45" s="346"/>
      <c r="D45" s="347"/>
      <c r="E45" s="366" t="s">
        <v>350</v>
      </c>
      <c r="F45" s="388" t="s">
        <v>351</v>
      </c>
      <c r="G45" s="511" t="s">
        <v>251</v>
      </c>
      <c r="H45" s="388" t="s">
        <v>387</v>
      </c>
      <c r="I45" s="470" t="s">
        <v>388</v>
      </c>
      <c r="J45" s="514" t="s">
        <v>389</v>
      </c>
      <c r="K45" s="322"/>
    </row>
    <row r="46">
      <c r="B46" s="350"/>
      <c r="C46" s="346"/>
      <c r="D46" s="347"/>
      <c r="E46" s="347"/>
      <c r="F46" s="388" t="s">
        <v>352</v>
      </c>
      <c r="G46" s="361"/>
      <c r="H46" s="361"/>
      <c r="I46" s="361"/>
      <c r="J46" s="513" t="s">
        <v>348</v>
      </c>
      <c r="K46" s="322"/>
    </row>
    <row r="47">
      <c r="B47" s="345"/>
      <c r="C47" s="346"/>
      <c r="D47" s="347"/>
      <c r="E47" s="347"/>
      <c r="F47" s="361"/>
      <c r="G47" s="361"/>
      <c r="H47" s="361"/>
      <c r="I47" s="361"/>
      <c r="J47" s="347"/>
      <c r="K47" s="322"/>
    </row>
    <row r="48">
      <c r="B48" s="345" t="s">
        <v>253</v>
      </c>
      <c r="C48" s="346"/>
      <c r="D48" s="347"/>
      <c r="E48" s="347"/>
      <c r="F48" s="388" t="s">
        <v>252</v>
      </c>
      <c r="G48" s="511"/>
      <c r="H48" s="388" t="s">
        <v>252</v>
      </c>
      <c r="I48" s="470"/>
      <c r="J48" s="388" t="s">
        <v>252</v>
      </c>
      <c r="K48" s="322"/>
    </row>
    <row r="49">
      <c r="B49" s="350"/>
      <c r="C49" s="346"/>
      <c r="D49" s="347"/>
      <c r="E49" s="347"/>
      <c r="F49" s="361"/>
      <c r="G49" s="361"/>
      <c r="H49" s="361"/>
      <c r="I49" s="361"/>
      <c r="J49" s="347"/>
      <c r="K49" s="322"/>
    </row>
    <row r="50">
      <c r="B50" s="368"/>
      <c r="C50" s="355"/>
      <c r="D50" s="356"/>
      <c r="E50" s="356"/>
      <c r="F50" s="369"/>
      <c r="G50" s="369"/>
      <c r="H50" s="515"/>
      <c r="I50" s="369"/>
      <c r="J50" s="356"/>
      <c r="K50" s="322"/>
    </row>
    <row r="51" ht="5.25" customHeight="1">
      <c r="D51" s="322"/>
      <c r="E51" s="322"/>
      <c r="F51" s="322"/>
      <c r="G51" s="322"/>
      <c r="H51" s="322"/>
      <c r="I51" s="322"/>
      <c r="J51" s="322"/>
      <c r="K51" s="322"/>
    </row>
    <row r="52">
      <c r="B52" s="370" t="s">
        <v>254</v>
      </c>
      <c r="D52" s="322"/>
      <c r="E52" s="322"/>
      <c r="F52" s="322"/>
      <c r="G52" s="322"/>
      <c r="H52" s="322"/>
      <c r="I52" s="322"/>
      <c r="J52" s="322"/>
      <c r="K52" s="322"/>
    </row>
    <row r="53">
      <c r="B53" s="370" t="s">
        <v>255</v>
      </c>
      <c r="D53" s="322"/>
      <c r="E53" s="322"/>
      <c r="F53" s="322"/>
      <c r="G53" s="322"/>
      <c r="H53" s="322"/>
      <c r="I53" s="322"/>
      <c r="J53" s="322"/>
      <c r="K53" s="322"/>
    </row>
    <row r="54">
      <c r="B54" s="371"/>
      <c r="D54" s="322"/>
      <c r="E54" s="322"/>
      <c r="F54" s="322"/>
      <c r="G54" s="322"/>
      <c r="H54" s="322"/>
      <c r="I54" s="322"/>
      <c r="J54" s="322"/>
      <c r="K54" s="322"/>
    </row>
    <row r="55">
      <c r="B55" s="370" t="s">
        <v>256</v>
      </c>
      <c r="D55" s="322"/>
      <c r="E55" s="322"/>
      <c r="F55" s="322"/>
      <c r="G55" s="322"/>
      <c r="H55" s="322"/>
      <c r="I55" s="322"/>
      <c r="J55" s="322"/>
      <c r="K55" s="322"/>
    </row>
    <row r="56">
      <c r="B56" s="371"/>
      <c r="D56" s="322"/>
      <c r="E56" s="322"/>
      <c r="F56" s="322"/>
      <c r="G56" s="322"/>
      <c r="H56" s="322"/>
      <c r="I56" s="322"/>
      <c r="J56" s="322"/>
      <c r="K56" s="322"/>
    </row>
    <row r="57">
      <c r="B57" s="370" t="s">
        <v>257</v>
      </c>
      <c r="D57" s="322"/>
      <c r="E57" s="322"/>
      <c r="F57" s="322"/>
      <c r="G57" s="322"/>
      <c r="H57" s="322"/>
      <c r="I57" s="322"/>
      <c r="J57" s="322"/>
      <c r="K57" s="322"/>
    </row>
    <row r="58">
      <c r="B58" s="370" t="s">
        <v>258</v>
      </c>
      <c r="D58" s="322"/>
      <c r="E58" s="322"/>
      <c r="F58" s="322"/>
      <c r="G58" s="322"/>
      <c r="H58" s="322"/>
      <c r="I58" s="322"/>
      <c r="J58" s="322"/>
      <c r="K58" s="322"/>
    </row>
    <row r="59">
      <c r="B59" s="370" t="s">
        <v>259</v>
      </c>
      <c r="D59" s="322"/>
      <c r="E59" s="322"/>
      <c r="F59" s="322"/>
      <c r="G59" s="322"/>
      <c r="H59" s="322"/>
      <c r="I59" s="322"/>
      <c r="J59" s="322"/>
      <c r="K59" s="322"/>
    </row>
    <row r="60">
      <c r="B60" s="371"/>
      <c r="D60" s="322"/>
      <c r="E60" s="322"/>
      <c r="F60" s="322"/>
      <c r="G60" s="322"/>
      <c r="H60" s="322"/>
      <c r="I60" s="322"/>
      <c r="J60" s="322"/>
      <c r="K60" s="322"/>
    </row>
    <row r="61">
      <c r="B61" s="370" t="s">
        <v>260</v>
      </c>
      <c r="D61" s="322"/>
      <c r="E61" s="322"/>
      <c r="F61" s="322"/>
      <c r="G61" s="322"/>
      <c r="H61" s="322"/>
      <c r="I61" s="322"/>
      <c r="J61" s="322"/>
      <c r="K61" s="322"/>
    </row>
    <row r="62">
      <c r="B62" s="1" t="s">
        <v>261</v>
      </c>
      <c r="D62" s="322"/>
      <c r="E62" s="322"/>
      <c r="F62" s="322"/>
      <c r="G62" s="322"/>
      <c r="H62" s="322"/>
      <c r="I62" s="322"/>
      <c r="J62" s="322"/>
      <c r="K62" s="322"/>
    </row>
    <row r="63">
      <c r="B63" s="1"/>
      <c r="D63" s="322"/>
      <c r="E63" s="322"/>
      <c r="F63" s="322"/>
      <c r="G63" s="322"/>
      <c r="H63" s="322"/>
      <c r="I63" s="322"/>
      <c r="J63" s="322"/>
      <c r="K63" s="322"/>
    </row>
    <row r="64">
      <c r="B64" s="1"/>
      <c r="D64" s="322"/>
      <c r="E64" s="322"/>
      <c r="F64" s="322"/>
      <c r="G64" s="322"/>
      <c r="H64" s="322"/>
      <c r="I64" s="322"/>
      <c r="J64" s="322"/>
      <c r="K64" s="322"/>
    </row>
    <row r="65">
      <c r="B65" s="1"/>
      <c r="D65" s="322"/>
      <c r="E65" s="322"/>
      <c r="F65" s="322"/>
      <c r="G65" s="322"/>
      <c r="H65" s="322"/>
      <c r="I65" s="322"/>
      <c r="J65" s="322"/>
      <c r="K65" s="322"/>
    </row>
    <row r="66">
      <c r="B66" s="1"/>
      <c r="D66" s="322"/>
      <c r="E66" s="322"/>
      <c r="F66" s="322"/>
      <c r="G66" s="322"/>
      <c r="H66" s="322"/>
      <c r="I66" s="322"/>
      <c r="J66" s="322"/>
      <c r="K66" s="322"/>
    </row>
    <row r="67">
      <c r="B67" s="1"/>
      <c r="D67" s="322"/>
      <c r="E67" s="322"/>
      <c r="F67" s="322"/>
      <c r="G67" s="322"/>
      <c r="H67" s="322"/>
      <c r="I67" s="322"/>
      <c r="J67" s="322"/>
      <c r="K67" s="322"/>
    </row>
    <row r="68">
      <c r="B68" s="1"/>
      <c r="D68" s="322"/>
      <c r="E68" s="322"/>
      <c r="F68" s="322"/>
      <c r="G68" s="322"/>
      <c r="H68" s="322"/>
      <c r="I68" s="322"/>
      <c r="J68" s="322"/>
      <c r="K68" s="322"/>
    </row>
    <row r="69">
      <c r="B69" s="1"/>
      <c r="D69" s="322"/>
      <c r="E69" s="322"/>
      <c r="F69" s="322"/>
      <c r="G69" s="322"/>
      <c r="H69" s="322"/>
      <c r="I69" s="322"/>
      <c r="J69" s="322"/>
      <c r="K69" s="322"/>
    </row>
    <row r="70">
      <c r="B70" s="1"/>
      <c r="D70" s="322"/>
      <c r="E70" s="322"/>
      <c r="F70" s="322"/>
      <c r="G70" s="322"/>
      <c r="H70" s="322"/>
      <c r="I70" s="322"/>
      <c r="J70" s="322"/>
      <c r="K70" s="322"/>
    </row>
    <row r="71">
      <c r="B71" s="317"/>
      <c r="C71" s="317"/>
      <c r="D71" s="317"/>
      <c r="E71" s="317"/>
      <c r="F71" s="317"/>
      <c r="G71" s="317"/>
      <c r="H71" s="317"/>
      <c r="I71" s="317"/>
      <c r="J71" s="317"/>
      <c r="K71" s="322"/>
    </row>
    <row r="72">
      <c r="B72" s="317"/>
      <c r="C72" s="317"/>
      <c r="D72" s="317"/>
      <c r="E72" s="317"/>
      <c r="F72" s="317"/>
      <c r="G72" s="317"/>
      <c r="H72" s="317"/>
      <c r="I72" s="317"/>
      <c r="J72" s="317"/>
      <c r="K72" s="322"/>
    </row>
    <row r="73">
      <c r="B73" s="317"/>
      <c r="C73" s="317"/>
      <c r="D73" s="317"/>
      <c r="E73" s="317"/>
      <c r="F73" s="317"/>
      <c r="G73" s="317"/>
      <c r="H73" s="317"/>
      <c r="I73" s="317"/>
      <c r="J73" s="317"/>
      <c r="K73" s="322"/>
    </row>
    <row r="74">
      <c r="B74" s="317"/>
      <c r="C74" s="317"/>
      <c r="D74" s="317"/>
      <c r="E74" s="317"/>
      <c r="F74" s="317"/>
      <c r="G74" s="317"/>
      <c r="H74" s="317"/>
      <c r="I74" s="317"/>
      <c r="J74" s="317"/>
      <c r="K74" s="322"/>
    </row>
    <row r="75">
      <c r="B75" s="317"/>
      <c r="C75" s="317"/>
      <c r="D75" s="317"/>
      <c r="E75" s="317"/>
      <c r="F75" s="317"/>
      <c r="G75" s="317"/>
      <c r="H75" s="317"/>
      <c r="I75" s="317"/>
      <c r="J75" s="317"/>
      <c r="K75" s="322"/>
    </row>
    <row r="76">
      <c r="B76" s="317"/>
      <c r="C76" s="317"/>
      <c r="D76" s="317"/>
      <c r="E76" s="317"/>
      <c r="F76" s="317"/>
      <c r="G76" s="317"/>
      <c r="H76" s="317"/>
      <c r="I76" s="317"/>
      <c r="J76" s="317"/>
      <c r="K76" s="322"/>
    </row>
    <row r="77">
      <c r="B77" s="318"/>
      <c r="C77" s="318"/>
      <c r="D77" s="318"/>
      <c r="E77" s="318"/>
      <c r="F77" s="318"/>
      <c r="G77" s="318"/>
      <c r="H77" s="318"/>
      <c r="I77" s="318"/>
      <c r="J77" s="318"/>
      <c r="K77" s="322"/>
    </row>
    <row r="78">
      <c r="A78" s="372" t="s">
        <v>262</v>
      </c>
      <c r="K78" s="322"/>
    </row>
    <row r="79">
      <c r="A79" s="318" t="s">
        <v>379</v>
      </c>
      <c r="K79" s="322"/>
    </row>
    <row r="80">
      <c r="A80" s="318" t="s">
        <v>380</v>
      </c>
      <c r="K80" s="322"/>
    </row>
    <row r="81">
      <c r="B81" s="373" t="s">
        <v>265</v>
      </c>
      <c r="C81" s="321" t="s">
        <v>353</v>
      </c>
      <c r="D81" s="322"/>
      <c r="E81" s="322"/>
      <c r="F81" s="322"/>
      <c r="G81" s="322"/>
      <c r="H81" s="322"/>
      <c r="I81" s="322"/>
      <c r="J81" s="322"/>
      <c r="K81" s="322"/>
    </row>
    <row r="82">
      <c r="B82" s="373" t="s">
        <v>354</v>
      </c>
      <c r="C82" s="321" t="s">
        <v>379</v>
      </c>
      <c r="D82" s="322"/>
      <c r="E82" s="322"/>
      <c r="F82" s="322"/>
      <c r="G82" s="322"/>
      <c r="H82" s="322"/>
      <c r="I82" s="322"/>
      <c r="J82" s="322"/>
      <c r="K82" s="322"/>
    </row>
    <row r="83">
      <c r="B83" s="373" t="s">
        <v>266</v>
      </c>
      <c r="D83" s="322"/>
      <c r="E83" s="322"/>
      <c r="F83" s="322"/>
      <c r="G83" s="322"/>
      <c r="H83" s="322"/>
      <c r="I83" s="322"/>
      <c r="J83" s="322"/>
      <c r="K83" s="322"/>
    </row>
    <row r="84">
      <c r="B84" s="1" t="s">
        <v>270</v>
      </c>
      <c r="D84" s="322"/>
      <c r="E84" s="330">
        <v>46000.0</v>
      </c>
      <c r="F84" s="328" t="s">
        <v>233</v>
      </c>
      <c r="G84" s="322"/>
      <c r="H84" s="322"/>
      <c r="I84" s="322"/>
      <c r="J84" s="322"/>
      <c r="K84" s="322"/>
    </row>
    <row r="85">
      <c r="B85" s="329"/>
      <c r="D85" s="322"/>
      <c r="E85" s="330"/>
      <c r="F85" s="322"/>
      <c r="G85" s="322"/>
      <c r="H85" s="322"/>
      <c r="I85" s="322"/>
      <c r="J85" s="322"/>
      <c r="K85" s="322"/>
    </row>
    <row r="86">
      <c r="B86" s="1" t="s">
        <v>271</v>
      </c>
      <c r="D86" s="322"/>
      <c r="E86" s="330">
        <v>8000.0</v>
      </c>
      <c r="F86" s="328" t="s">
        <v>233</v>
      </c>
      <c r="G86" s="322"/>
      <c r="H86" s="322"/>
      <c r="I86" s="322"/>
      <c r="J86" s="322"/>
      <c r="K86" s="322"/>
    </row>
    <row r="87">
      <c r="B87" s="329"/>
      <c r="D87" s="322"/>
      <c r="E87" s="330"/>
      <c r="F87" s="322"/>
      <c r="G87" s="322"/>
      <c r="H87" s="322"/>
      <c r="I87" s="322"/>
      <c r="J87" s="322"/>
      <c r="K87" s="322"/>
    </row>
    <row r="88">
      <c r="B88" s="1" t="s">
        <v>272</v>
      </c>
      <c r="D88" s="322"/>
      <c r="E88" s="330">
        <v>13000.0</v>
      </c>
      <c r="F88" s="328" t="s">
        <v>233</v>
      </c>
      <c r="G88" s="322"/>
      <c r="H88" s="322"/>
      <c r="I88" s="322"/>
      <c r="J88" s="322"/>
      <c r="K88" s="322"/>
    </row>
    <row r="89">
      <c r="B89" s="329"/>
      <c r="D89" s="332"/>
      <c r="E89" s="331"/>
      <c r="F89" s="322"/>
      <c r="G89" s="322"/>
      <c r="H89" s="322"/>
      <c r="I89" s="322"/>
      <c r="J89" s="322"/>
      <c r="K89" s="322"/>
    </row>
    <row r="90">
      <c r="D90" s="467" t="s">
        <v>273</v>
      </c>
      <c r="E90" s="331">
        <f>SUM(E84:E88)</f>
        <v>67000</v>
      </c>
      <c r="F90" s="328" t="s">
        <v>233</v>
      </c>
      <c r="G90" s="322"/>
      <c r="H90" s="322"/>
      <c r="I90" s="322"/>
      <c r="J90" s="322"/>
      <c r="K90" s="322"/>
    </row>
    <row r="91">
      <c r="D91" s="322"/>
      <c r="E91" s="322"/>
      <c r="F91" s="322"/>
      <c r="G91" s="322"/>
      <c r="H91" s="322"/>
      <c r="I91" s="322"/>
      <c r="J91" s="322"/>
      <c r="K91" s="322"/>
    </row>
    <row r="92">
      <c r="B92" s="1"/>
      <c r="D92" s="322"/>
      <c r="E92" s="43" t="s">
        <v>163</v>
      </c>
      <c r="F92" s="45"/>
      <c r="G92" s="43" t="s">
        <v>162</v>
      </c>
      <c r="H92" s="45"/>
      <c r="I92" s="43" t="s">
        <v>164</v>
      </c>
      <c r="J92" s="45"/>
      <c r="K92" s="322"/>
    </row>
    <row r="93">
      <c r="B93" s="379" t="s">
        <v>274</v>
      </c>
      <c r="C93" s="380"/>
      <c r="D93" s="381"/>
      <c r="E93" s="382" t="s">
        <v>275</v>
      </c>
      <c r="F93" s="382" t="s">
        <v>276</v>
      </c>
      <c r="G93" s="382" t="s">
        <v>275</v>
      </c>
      <c r="H93" s="382" t="s">
        <v>390</v>
      </c>
      <c r="I93" s="382" t="s">
        <v>275</v>
      </c>
      <c r="J93" s="382" t="s">
        <v>390</v>
      </c>
      <c r="K93" s="322"/>
    </row>
    <row r="94">
      <c r="B94" s="383" t="s">
        <v>277</v>
      </c>
      <c r="C94" s="384"/>
      <c r="D94" s="385"/>
      <c r="E94" s="344"/>
      <c r="F94" s="344"/>
      <c r="G94" s="361"/>
      <c r="H94" s="361"/>
      <c r="I94" s="361"/>
      <c r="J94" s="361"/>
      <c r="K94" s="322"/>
    </row>
    <row r="95">
      <c r="B95" s="345" t="s">
        <v>278</v>
      </c>
      <c r="C95" s="346"/>
      <c r="D95" s="347"/>
      <c r="E95" s="348" t="s">
        <v>247</v>
      </c>
      <c r="F95" s="349" t="s">
        <v>339</v>
      </c>
      <c r="G95" s="366" t="s">
        <v>341</v>
      </c>
      <c r="H95" s="388" t="s">
        <v>382</v>
      </c>
      <c r="I95" s="366" t="s">
        <v>383</v>
      </c>
      <c r="J95" s="388" t="s">
        <v>384</v>
      </c>
      <c r="K95" s="322"/>
    </row>
    <row r="96">
      <c r="B96" s="350"/>
      <c r="C96" s="346"/>
      <c r="D96" s="347"/>
      <c r="E96" s="351"/>
      <c r="F96" s="349" t="s">
        <v>340</v>
      </c>
      <c r="G96" s="507"/>
      <c r="H96" s="361"/>
      <c r="I96" s="507"/>
      <c r="J96" s="361"/>
      <c r="K96" s="322"/>
    </row>
    <row r="97">
      <c r="B97" s="345"/>
      <c r="C97" s="346"/>
      <c r="D97" s="347"/>
      <c r="E97" s="348"/>
      <c r="F97" s="349"/>
      <c r="G97" s="507"/>
      <c r="H97" s="388"/>
      <c r="I97" s="507"/>
      <c r="J97" s="388"/>
      <c r="K97" s="322"/>
    </row>
    <row r="98">
      <c r="B98" s="345" t="s">
        <v>279</v>
      </c>
      <c r="C98" s="346"/>
      <c r="D98" s="347"/>
      <c r="E98" s="348" t="s">
        <v>341</v>
      </c>
      <c r="F98" s="349" t="s">
        <v>342</v>
      </c>
      <c r="G98" s="366" t="s">
        <v>383</v>
      </c>
      <c r="H98" s="388" t="s">
        <v>382</v>
      </c>
      <c r="I98" s="366" t="s">
        <v>383</v>
      </c>
      <c r="J98" s="388" t="s">
        <v>384</v>
      </c>
      <c r="K98" s="322"/>
    </row>
    <row r="99">
      <c r="B99" s="350"/>
      <c r="C99" s="346"/>
      <c r="D99" s="347"/>
      <c r="E99" s="344"/>
      <c r="F99" s="349" t="s">
        <v>343</v>
      </c>
      <c r="G99" s="361"/>
      <c r="H99" s="361"/>
      <c r="I99" s="361"/>
      <c r="J99" s="361"/>
      <c r="K99" s="322"/>
    </row>
    <row r="100">
      <c r="B100" s="345"/>
      <c r="C100" s="346"/>
      <c r="D100" s="347"/>
      <c r="E100" s="352"/>
      <c r="F100" s="349"/>
      <c r="G100" s="361"/>
      <c r="H100" s="361"/>
      <c r="I100" s="507"/>
      <c r="J100" s="388"/>
      <c r="K100" s="322"/>
    </row>
    <row r="101">
      <c r="B101" s="345" t="s">
        <v>280</v>
      </c>
      <c r="C101" s="346"/>
      <c r="D101" s="347"/>
      <c r="E101" s="352" t="s">
        <v>247</v>
      </c>
      <c r="F101" s="349" t="s">
        <v>344</v>
      </c>
      <c r="G101" s="508" t="s">
        <v>385</v>
      </c>
      <c r="H101" s="509"/>
      <c r="I101" s="366" t="s">
        <v>386</v>
      </c>
      <c r="J101" s="388" t="s">
        <v>243</v>
      </c>
      <c r="K101" s="322"/>
    </row>
    <row r="102">
      <c r="B102" s="353"/>
      <c r="C102" s="346"/>
      <c r="D102" s="347"/>
      <c r="E102" s="344"/>
      <c r="F102" s="344"/>
      <c r="G102" s="361"/>
      <c r="H102" s="361"/>
      <c r="I102" s="510"/>
      <c r="J102" s="361"/>
      <c r="K102" s="322"/>
    </row>
    <row r="103">
      <c r="B103" s="354" t="s">
        <v>248</v>
      </c>
      <c r="C103" s="355"/>
      <c r="D103" s="356"/>
      <c r="E103" s="357"/>
      <c r="F103" s="357"/>
      <c r="G103" s="369"/>
      <c r="H103" s="369"/>
      <c r="I103" s="369"/>
      <c r="J103" s="369"/>
      <c r="K103" s="322"/>
    </row>
    <row r="104">
      <c r="B104" s="461"/>
      <c r="C104" s="346"/>
      <c r="D104" s="347"/>
      <c r="E104" s="468"/>
      <c r="F104" s="361"/>
      <c r="G104" s="361"/>
      <c r="H104" s="361"/>
      <c r="I104" s="361"/>
      <c r="J104" s="361"/>
      <c r="K104" s="322"/>
    </row>
    <row r="105">
      <c r="B105" s="502" t="s">
        <v>355</v>
      </c>
      <c r="C105" s="503"/>
      <c r="D105" s="504"/>
      <c r="E105" s="361"/>
      <c r="F105" s="361"/>
      <c r="G105" s="361"/>
      <c r="H105" s="361"/>
      <c r="I105" s="361"/>
      <c r="J105" s="361"/>
      <c r="K105" s="322"/>
    </row>
    <row r="106">
      <c r="B106" s="469" t="s">
        <v>356</v>
      </c>
      <c r="C106" s="346"/>
      <c r="D106" s="347"/>
      <c r="E106" s="361"/>
      <c r="F106" s="361"/>
      <c r="G106" s="361"/>
      <c r="H106" s="361"/>
      <c r="I106" s="361"/>
      <c r="J106" s="361"/>
      <c r="K106" s="322"/>
    </row>
    <row r="107">
      <c r="B107" s="464" t="s">
        <v>346</v>
      </c>
      <c r="C107" s="346"/>
      <c r="D107" s="347"/>
      <c r="E107" s="361"/>
      <c r="F107" s="361"/>
      <c r="G107" s="344"/>
      <c r="H107" s="344"/>
      <c r="I107" s="344"/>
      <c r="J107" s="344"/>
      <c r="K107" s="322"/>
    </row>
    <row r="108">
      <c r="B108" s="345" t="s">
        <v>278</v>
      </c>
      <c r="C108" s="346"/>
      <c r="D108" s="347"/>
      <c r="E108" s="388" t="s">
        <v>245</v>
      </c>
      <c r="F108" s="388" t="s">
        <v>347</v>
      </c>
      <c r="G108" s="511"/>
      <c r="H108" s="352" t="s">
        <v>347</v>
      </c>
      <c r="I108" s="344"/>
      <c r="J108" s="352" t="s">
        <v>347</v>
      </c>
      <c r="K108" s="322"/>
    </row>
    <row r="109">
      <c r="B109" s="350"/>
      <c r="C109" s="346"/>
      <c r="D109" s="347"/>
      <c r="E109" s="361"/>
      <c r="F109" s="361"/>
      <c r="G109" s="511"/>
      <c r="H109" s="344"/>
      <c r="I109" s="344"/>
      <c r="J109" s="344"/>
      <c r="K109" s="322"/>
    </row>
    <row r="110">
      <c r="B110" s="345" t="s">
        <v>279</v>
      </c>
      <c r="C110" s="346"/>
      <c r="D110" s="347"/>
      <c r="E110" s="470" t="s">
        <v>251</v>
      </c>
      <c r="F110" s="388" t="s">
        <v>348</v>
      </c>
      <c r="G110" s="511" t="s">
        <v>251</v>
      </c>
      <c r="H110" s="352" t="s">
        <v>387</v>
      </c>
      <c r="I110" s="511" t="s">
        <v>251</v>
      </c>
      <c r="J110" s="512" t="s">
        <v>348</v>
      </c>
      <c r="K110" s="322"/>
    </row>
    <row r="111">
      <c r="B111" s="350"/>
      <c r="C111" s="346"/>
      <c r="D111" s="347"/>
      <c r="E111" s="361"/>
      <c r="F111" s="388"/>
      <c r="G111" s="511"/>
      <c r="H111" s="344"/>
      <c r="I111" s="344"/>
      <c r="J111" s="344"/>
      <c r="K111" s="322"/>
    </row>
    <row r="112">
      <c r="B112" s="345" t="s">
        <v>280</v>
      </c>
      <c r="C112" s="346"/>
      <c r="D112" s="347"/>
      <c r="E112" s="388" t="s">
        <v>245</v>
      </c>
      <c r="F112" s="388" t="s">
        <v>349</v>
      </c>
      <c r="G112" s="511"/>
      <c r="H112" s="352" t="s">
        <v>349</v>
      </c>
      <c r="I112" s="344"/>
      <c r="J112" s="352" t="s">
        <v>349</v>
      </c>
      <c r="K112" s="322"/>
    </row>
    <row r="113">
      <c r="B113" s="465"/>
      <c r="C113" s="346"/>
      <c r="D113" s="347"/>
      <c r="E113" s="361"/>
      <c r="F113" s="361"/>
      <c r="G113" s="511"/>
      <c r="H113" s="344"/>
      <c r="I113" s="344"/>
      <c r="J113" s="344"/>
      <c r="K113" s="322"/>
    </row>
    <row r="114">
      <c r="B114" s="386" t="s">
        <v>281</v>
      </c>
      <c r="C114" s="384"/>
      <c r="D114" s="385"/>
      <c r="E114" s="361"/>
      <c r="F114" s="361"/>
      <c r="G114" s="361"/>
      <c r="H114" s="361"/>
      <c r="I114" s="361"/>
      <c r="J114" s="361"/>
      <c r="K114" s="322"/>
    </row>
    <row r="115">
      <c r="B115" s="345" t="s">
        <v>278</v>
      </c>
      <c r="C115" s="346"/>
      <c r="D115" s="347"/>
      <c r="E115" s="361"/>
      <c r="F115" s="361" t="s">
        <v>282</v>
      </c>
      <c r="G115" s="361"/>
      <c r="H115" s="361" t="s">
        <v>282</v>
      </c>
      <c r="I115" s="361"/>
      <c r="J115" s="513" t="s">
        <v>282</v>
      </c>
      <c r="K115" s="322"/>
    </row>
    <row r="116">
      <c r="B116" s="350"/>
      <c r="D116" s="346"/>
      <c r="E116" s="361"/>
      <c r="F116" s="361"/>
      <c r="G116" s="361"/>
      <c r="H116" s="361"/>
      <c r="I116" s="361"/>
      <c r="J116" s="513"/>
      <c r="K116" s="322"/>
    </row>
    <row r="117">
      <c r="B117" s="345" t="s">
        <v>279</v>
      </c>
      <c r="C117" s="346"/>
      <c r="D117" s="347"/>
      <c r="E117" s="470" t="s">
        <v>350</v>
      </c>
      <c r="F117" s="388" t="s">
        <v>351</v>
      </c>
      <c r="G117" s="511" t="s">
        <v>251</v>
      </c>
      <c r="H117" s="388" t="s">
        <v>387</v>
      </c>
      <c r="I117" s="470" t="s">
        <v>388</v>
      </c>
      <c r="J117" s="514" t="s">
        <v>389</v>
      </c>
      <c r="K117" s="322"/>
    </row>
    <row r="118">
      <c r="B118" s="350"/>
      <c r="C118" s="346"/>
      <c r="D118" s="347"/>
      <c r="E118" s="361"/>
      <c r="F118" s="388" t="s">
        <v>352</v>
      </c>
      <c r="G118" s="361"/>
      <c r="H118" s="361"/>
      <c r="I118" s="361"/>
      <c r="J118" s="513" t="s">
        <v>348</v>
      </c>
      <c r="K118" s="322"/>
    </row>
    <row r="119">
      <c r="B119" s="345"/>
      <c r="C119" s="346"/>
      <c r="D119" s="347"/>
      <c r="E119" s="361"/>
      <c r="F119" s="361"/>
      <c r="G119" s="361"/>
      <c r="H119" s="361"/>
      <c r="I119" s="361"/>
      <c r="J119" s="347"/>
      <c r="K119" s="322"/>
    </row>
    <row r="120">
      <c r="B120" s="389" t="s">
        <v>283</v>
      </c>
      <c r="C120" s="346"/>
      <c r="D120" s="347"/>
      <c r="E120" s="361"/>
      <c r="F120" s="471" t="s">
        <v>282</v>
      </c>
      <c r="G120" s="361"/>
      <c r="H120" s="471" t="s">
        <v>282</v>
      </c>
      <c r="I120" s="470"/>
      <c r="J120" s="516" t="s">
        <v>282</v>
      </c>
      <c r="K120" s="322"/>
    </row>
    <row r="121">
      <c r="B121" s="350"/>
      <c r="C121" s="346"/>
      <c r="D121" s="347"/>
      <c r="E121" s="361"/>
      <c r="F121" s="361"/>
      <c r="G121" s="361"/>
      <c r="H121" s="361"/>
      <c r="I121" s="361"/>
      <c r="J121" s="347"/>
      <c r="K121" s="322"/>
    </row>
    <row r="122">
      <c r="B122" s="368"/>
      <c r="C122" s="355"/>
      <c r="D122" s="356"/>
      <c r="E122" s="369"/>
      <c r="F122" s="369"/>
      <c r="G122" s="369"/>
      <c r="H122" s="515"/>
      <c r="I122" s="369"/>
      <c r="J122" s="356"/>
      <c r="K122" s="322"/>
    </row>
    <row r="123">
      <c r="D123" s="322"/>
      <c r="E123" s="322"/>
      <c r="F123" s="322"/>
      <c r="G123" s="322"/>
      <c r="H123" s="322"/>
      <c r="I123" s="322"/>
      <c r="J123" s="322"/>
      <c r="K123" s="322"/>
    </row>
    <row r="124">
      <c r="B124" s="370" t="s">
        <v>254</v>
      </c>
      <c r="D124" s="322"/>
      <c r="E124" s="322"/>
      <c r="F124" s="322"/>
      <c r="G124" s="322"/>
      <c r="H124" s="322"/>
      <c r="I124" s="322"/>
      <c r="J124" s="322"/>
      <c r="K124" s="322"/>
    </row>
    <row r="125">
      <c r="B125" s="370" t="s">
        <v>255</v>
      </c>
      <c r="D125" s="322"/>
      <c r="E125" s="322"/>
      <c r="F125" s="322"/>
      <c r="G125" s="322"/>
      <c r="H125" s="322"/>
      <c r="I125" s="322"/>
      <c r="J125" s="322"/>
      <c r="K125" s="322"/>
    </row>
    <row r="126">
      <c r="B126" s="371"/>
      <c r="D126" s="322"/>
      <c r="E126" s="322"/>
      <c r="F126" s="322"/>
      <c r="G126" s="322"/>
      <c r="H126" s="322"/>
      <c r="I126" s="322"/>
      <c r="J126" s="322"/>
      <c r="K126" s="322"/>
    </row>
    <row r="127">
      <c r="B127" s="370" t="s">
        <v>256</v>
      </c>
      <c r="D127" s="322"/>
      <c r="E127" s="322"/>
      <c r="F127" s="322"/>
      <c r="G127" s="322"/>
      <c r="H127" s="322"/>
      <c r="I127" s="322"/>
      <c r="J127" s="322"/>
      <c r="K127" s="322"/>
    </row>
    <row r="128">
      <c r="B128" s="371"/>
      <c r="D128" s="322"/>
      <c r="E128" s="322"/>
      <c r="F128" s="322"/>
      <c r="G128" s="322"/>
      <c r="H128" s="322"/>
      <c r="I128" s="322"/>
      <c r="J128" s="322"/>
      <c r="K128" s="322"/>
    </row>
    <row r="129">
      <c r="B129" s="370" t="s">
        <v>257</v>
      </c>
      <c r="D129" s="322"/>
      <c r="E129" s="322"/>
      <c r="F129" s="322"/>
      <c r="G129" s="322"/>
      <c r="H129" s="322"/>
      <c r="I129" s="322"/>
      <c r="J129" s="322"/>
      <c r="K129" s="322"/>
    </row>
    <row r="130">
      <c r="B130" s="370" t="s">
        <v>258</v>
      </c>
      <c r="D130" s="322"/>
      <c r="E130" s="322"/>
      <c r="F130" s="322"/>
      <c r="G130" s="322"/>
      <c r="H130" s="322"/>
      <c r="I130" s="322"/>
      <c r="J130" s="322"/>
      <c r="K130" s="322"/>
    </row>
    <row r="131">
      <c r="B131" s="370" t="s">
        <v>259</v>
      </c>
      <c r="D131" s="322"/>
      <c r="E131" s="322"/>
      <c r="F131" s="322"/>
      <c r="G131" s="322"/>
      <c r="H131" s="322"/>
      <c r="I131" s="322"/>
      <c r="J131" s="322"/>
      <c r="K131" s="322"/>
    </row>
    <row r="132">
      <c r="B132" s="371"/>
      <c r="D132" s="322"/>
      <c r="E132" s="322"/>
      <c r="F132" s="322"/>
      <c r="G132" s="322"/>
      <c r="H132" s="322"/>
      <c r="I132" s="322"/>
      <c r="J132" s="322"/>
      <c r="K132" s="322"/>
    </row>
    <row r="133">
      <c r="B133" s="370" t="s">
        <v>260</v>
      </c>
      <c r="D133" s="322"/>
      <c r="E133" s="322"/>
      <c r="F133" s="322"/>
      <c r="G133" s="322"/>
      <c r="H133" s="322"/>
      <c r="I133" s="322"/>
      <c r="J133" s="322"/>
      <c r="K133" s="322"/>
    </row>
    <row r="134">
      <c r="B134" s="1" t="s">
        <v>261</v>
      </c>
      <c r="D134" s="322"/>
      <c r="E134" s="322"/>
      <c r="F134" s="322"/>
      <c r="G134" s="322"/>
      <c r="H134" s="322"/>
      <c r="I134" s="322"/>
      <c r="J134" s="322"/>
      <c r="K134" s="322"/>
    </row>
    <row r="135">
      <c r="B135" s="1"/>
      <c r="D135" s="322"/>
      <c r="E135" s="322"/>
      <c r="F135" s="322"/>
      <c r="G135" s="322"/>
      <c r="H135" s="322"/>
      <c r="I135" s="322"/>
      <c r="J135" s="322"/>
      <c r="K135" s="322"/>
    </row>
  </sheetData>
  <mergeCells count="14">
    <mergeCell ref="A78:J78"/>
    <mergeCell ref="A79:J79"/>
    <mergeCell ref="A80:J80"/>
    <mergeCell ref="E92:F92"/>
    <mergeCell ref="G92:H92"/>
    <mergeCell ref="I92:J92"/>
    <mergeCell ref="G101:H101"/>
    <mergeCell ref="A6:J6"/>
    <mergeCell ref="A7:J7"/>
    <mergeCell ref="A8:J8"/>
    <mergeCell ref="E20:F20"/>
    <mergeCell ref="G20:H20"/>
    <mergeCell ref="I20:J20"/>
    <mergeCell ref="G29:H29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5" width="11.86"/>
    <col customWidth="1" min="6" max="6" width="24.57"/>
    <col customWidth="1" min="7" max="7" width="11.86"/>
    <col customWidth="1" min="8" max="8" width="23.71"/>
    <col customWidth="1" min="9" max="9" width="11.86"/>
    <col customWidth="1" min="10" max="10" width="23.71"/>
    <col customWidth="1" min="11" max="11" width="2.14"/>
  </cols>
  <sheetData>
    <row r="1">
      <c r="B1" s="317"/>
      <c r="C1" s="317"/>
      <c r="D1" s="317"/>
      <c r="E1" s="317"/>
      <c r="F1" s="317"/>
      <c r="G1" s="317"/>
      <c r="H1" s="317"/>
      <c r="I1" s="317"/>
      <c r="J1" s="317"/>
      <c r="K1" s="317"/>
    </row>
    <row r="2">
      <c r="B2" s="317"/>
      <c r="C2" s="317"/>
      <c r="D2" s="317"/>
      <c r="E2" s="317"/>
      <c r="F2" s="317"/>
      <c r="G2" s="317"/>
      <c r="H2" s="317"/>
      <c r="I2" s="317"/>
      <c r="J2" s="317"/>
      <c r="K2" s="317"/>
    </row>
    <row r="3">
      <c r="B3" s="317"/>
      <c r="C3" s="317"/>
      <c r="D3" s="317"/>
      <c r="E3" s="317"/>
      <c r="F3" s="317"/>
      <c r="G3" s="317"/>
      <c r="H3" s="317"/>
      <c r="I3" s="317"/>
      <c r="J3" s="317"/>
      <c r="K3" s="317"/>
    </row>
    <row r="4">
      <c r="B4" s="317"/>
      <c r="C4" s="317"/>
      <c r="D4" s="317"/>
      <c r="E4" s="317"/>
      <c r="F4" s="317"/>
      <c r="G4" s="317"/>
      <c r="H4" s="317"/>
      <c r="I4" s="317"/>
      <c r="J4" s="317"/>
      <c r="K4" s="317"/>
    </row>
    <row r="5">
      <c r="B5" s="318"/>
      <c r="C5" s="318"/>
      <c r="D5" s="318"/>
      <c r="E5" s="318"/>
      <c r="F5" s="318"/>
      <c r="G5" s="318"/>
      <c r="H5" s="318"/>
      <c r="I5" s="318"/>
      <c r="J5" s="318"/>
      <c r="K5" s="317"/>
    </row>
    <row r="6">
      <c r="A6" s="54" t="s">
        <v>223</v>
      </c>
      <c r="K6" s="317"/>
    </row>
    <row r="7">
      <c r="A7" s="318" t="s">
        <v>379</v>
      </c>
      <c r="K7" s="319"/>
    </row>
    <row r="8">
      <c r="A8" s="318" t="s">
        <v>380</v>
      </c>
      <c r="K8" s="319"/>
    </row>
    <row r="9">
      <c r="B9" s="320" t="s">
        <v>227</v>
      </c>
      <c r="C9" s="321" t="s">
        <v>61</v>
      </c>
      <c r="D9" s="322"/>
      <c r="E9" s="322"/>
      <c r="F9" s="322"/>
      <c r="G9" s="322"/>
      <c r="H9" s="322"/>
      <c r="I9" s="322"/>
      <c r="J9" s="322"/>
      <c r="K9" s="322"/>
    </row>
    <row r="10">
      <c r="B10" s="320" t="s">
        <v>229</v>
      </c>
      <c r="C10" s="321" t="s">
        <v>379</v>
      </c>
      <c r="D10" s="322"/>
      <c r="E10" s="322"/>
      <c r="F10" s="322"/>
      <c r="G10" s="322"/>
      <c r="H10" s="322"/>
      <c r="I10" s="322"/>
      <c r="J10" s="322"/>
      <c r="K10" s="322"/>
    </row>
    <row r="11">
      <c r="B11" s="320" t="s">
        <v>338</v>
      </c>
      <c r="D11" s="322"/>
      <c r="E11" s="322"/>
      <c r="F11" s="322"/>
      <c r="G11" s="322"/>
      <c r="H11" s="322"/>
      <c r="I11" s="322"/>
      <c r="J11" s="322"/>
      <c r="K11" s="322"/>
    </row>
    <row r="12">
      <c r="B12" s="1" t="s">
        <v>232</v>
      </c>
      <c r="D12" s="322"/>
      <c r="E12" s="327">
        <v>46000.0</v>
      </c>
      <c r="F12" s="328" t="s">
        <v>233</v>
      </c>
      <c r="G12" s="322"/>
      <c r="H12" s="322"/>
      <c r="I12" s="322"/>
      <c r="J12" s="322"/>
      <c r="K12" s="322"/>
    </row>
    <row r="13">
      <c r="B13" s="329" t="s">
        <v>391</v>
      </c>
      <c r="D13" s="322"/>
      <c r="E13" s="330"/>
      <c r="F13" s="322"/>
      <c r="G13" s="322"/>
      <c r="H13" s="322"/>
      <c r="I13" s="322"/>
      <c r="J13" s="322"/>
      <c r="K13" s="322"/>
    </row>
    <row r="14">
      <c r="B14" s="1" t="s">
        <v>234</v>
      </c>
      <c r="D14" s="322"/>
      <c r="E14" s="327">
        <v>10000.0</v>
      </c>
      <c r="F14" s="328" t="s">
        <v>233</v>
      </c>
      <c r="G14" s="322"/>
      <c r="H14" s="322"/>
      <c r="I14" s="322"/>
      <c r="J14" s="322"/>
      <c r="K14" s="322"/>
    </row>
    <row r="15">
      <c r="B15" s="329" t="s">
        <v>392</v>
      </c>
      <c r="D15" s="322"/>
      <c r="E15" s="330"/>
      <c r="F15" s="322"/>
      <c r="G15" s="322"/>
      <c r="H15" s="322"/>
      <c r="I15" s="322"/>
      <c r="J15" s="322"/>
      <c r="K15" s="322"/>
    </row>
    <row r="16">
      <c r="B16" s="1" t="s">
        <v>235</v>
      </c>
      <c r="D16" s="322"/>
      <c r="E16" s="327">
        <v>16000.0</v>
      </c>
      <c r="F16" s="328" t="s">
        <v>233</v>
      </c>
      <c r="G16" s="322"/>
      <c r="H16" s="322"/>
      <c r="I16" s="322"/>
      <c r="J16" s="322"/>
      <c r="K16" s="322"/>
    </row>
    <row r="17">
      <c r="B17" s="329" t="s">
        <v>393</v>
      </c>
      <c r="D17" s="332"/>
      <c r="E17" s="331"/>
      <c r="F17" s="322"/>
      <c r="G17" s="322"/>
      <c r="H17" s="322"/>
      <c r="I17" s="322"/>
      <c r="J17" s="322"/>
      <c r="K17" s="322"/>
    </row>
    <row r="18">
      <c r="D18" s="332" t="s">
        <v>236</v>
      </c>
      <c r="E18" s="331">
        <f>SUM(E12:E16)</f>
        <v>72000</v>
      </c>
      <c r="F18" s="328" t="s">
        <v>233</v>
      </c>
      <c r="G18" s="322"/>
      <c r="H18" s="322"/>
      <c r="I18" s="322"/>
      <c r="J18" s="322"/>
      <c r="K18" s="322"/>
    </row>
    <row r="19" ht="10.5" customHeight="1">
      <c r="D19" s="322"/>
      <c r="E19" s="322"/>
      <c r="F19" s="322"/>
      <c r="G19" s="322"/>
      <c r="H19" s="322"/>
      <c r="I19" s="322"/>
      <c r="J19" s="322"/>
      <c r="K19" s="322"/>
    </row>
    <row r="20">
      <c r="B20" s="1"/>
      <c r="D20" s="322"/>
      <c r="E20" s="43" t="s">
        <v>163</v>
      </c>
      <c r="F20" s="45"/>
      <c r="G20" s="43" t="s">
        <v>162</v>
      </c>
      <c r="H20" s="45"/>
      <c r="I20" s="43" t="s">
        <v>164</v>
      </c>
      <c r="J20" s="45"/>
      <c r="K20" s="328"/>
    </row>
    <row r="21">
      <c r="B21" s="505" t="s">
        <v>237</v>
      </c>
      <c r="C21" s="380"/>
      <c r="D21" s="381"/>
      <c r="E21" s="506" t="s">
        <v>238</v>
      </c>
      <c r="F21" s="506" t="s">
        <v>239</v>
      </c>
      <c r="G21" s="506" t="s">
        <v>238</v>
      </c>
      <c r="H21" s="506" t="s">
        <v>239</v>
      </c>
      <c r="I21" s="506" t="s">
        <v>238</v>
      </c>
      <c r="J21" s="506" t="s">
        <v>239</v>
      </c>
      <c r="K21" s="328"/>
    </row>
    <row r="22">
      <c r="B22" s="399" t="s">
        <v>240</v>
      </c>
      <c r="C22" s="346"/>
      <c r="D22" s="347"/>
      <c r="E22" s="361"/>
      <c r="F22" s="361"/>
      <c r="G22" s="361"/>
      <c r="H22" s="361"/>
      <c r="I22" s="361"/>
      <c r="J22" s="361"/>
      <c r="K22" s="322"/>
    </row>
    <row r="23">
      <c r="B23" s="345" t="s">
        <v>241</v>
      </c>
      <c r="C23" s="346"/>
      <c r="D23" s="347"/>
      <c r="E23" s="366" t="s">
        <v>247</v>
      </c>
      <c r="F23" s="367" t="s">
        <v>339</v>
      </c>
      <c r="G23" s="366" t="s">
        <v>341</v>
      </c>
      <c r="H23" s="388" t="s">
        <v>382</v>
      </c>
      <c r="I23" s="366" t="s">
        <v>383</v>
      </c>
      <c r="J23" s="388" t="s">
        <v>384</v>
      </c>
      <c r="K23" s="322"/>
    </row>
    <row r="24">
      <c r="B24" s="350" t="s">
        <v>394</v>
      </c>
      <c r="C24" s="346"/>
      <c r="D24" s="347"/>
      <c r="E24" s="507"/>
      <c r="F24" s="367" t="s">
        <v>340</v>
      </c>
      <c r="G24" s="507"/>
      <c r="H24" s="361"/>
      <c r="I24" s="507"/>
      <c r="J24" s="361"/>
      <c r="K24" s="322"/>
    </row>
    <row r="25">
      <c r="B25" s="345"/>
      <c r="C25" s="346"/>
      <c r="D25" s="347"/>
      <c r="E25" s="366"/>
      <c r="F25" s="367"/>
      <c r="G25" s="507"/>
      <c r="H25" s="388"/>
      <c r="I25" s="507"/>
      <c r="J25" s="388"/>
      <c r="K25" s="322"/>
    </row>
    <row r="26">
      <c r="B26" s="345" t="s">
        <v>244</v>
      </c>
      <c r="C26" s="346"/>
      <c r="D26" s="347"/>
      <c r="E26" s="366" t="s">
        <v>341</v>
      </c>
      <c r="F26" s="367" t="s">
        <v>342</v>
      </c>
      <c r="G26" s="366" t="s">
        <v>383</v>
      </c>
      <c r="H26" s="388" t="s">
        <v>382</v>
      </c>
      <c r="I26" s="366" t="s">
        <v>383</v>
      </c>
      <c r="J26" s="388" t="s">
        <v>384</v>
      </c>
      <c r="K26" s="322"/>
    </row>
    <row r="27">
      <c r="B27" s="350" t="s">
        <v>395</v>
      </c>
      <c r="C27" s="346"/>
      <c r="D27" s="347"/>
      <c r="E27" s="361"/>
      <c r="F27" s="367" t="s">
        <v>343</v>
      </c>
      <c r="G27" s="361"/>
      <c r="H27" s="361"/>
      <c r="I27" s="361"/>
      <c r="J27" s="361"/>
      <c r="K27" s="322"/>
    </row>
    <row r="28">
      <c r="B28" s="345"/>
      <c r="C28" s="346"/>
      <c r="D28" s="347"/>
      <c r="E28" s="388"/>
      <c r="F28" s="367"/>
      <c r="G28" s="361"/>
      <c r="H28" s="361"/>
      <c r="I28" s="507"/>
      <c r="J28" s="388"/>
      <c r="K28" s="322"/>
    </row>
    <row r="29">
      <c r="B29" s="345" t="s">
        <v>246</v>
      </c>
      <c r="C29" s="346"/>
      <c r="D29" s="347"/>
      <c r="E29" s="388" t="s">
        <v>247</v>
      </c>
      <c r="F29" s="367" t="s">
        <v>344</v>
      </c>
      <c r="G29" s="508" t="s">
        <v>385</v>
      </c>
      <c r="H29" s="509"/>
      <c r="I29" s="366" t="s">
        <v>386</v>
      </c>
      <c r="J29" s="388" t="s">
        <v>243</v>
      </c>
      <c r="K29" s="322"/>
    </row>
    <row r="30">
      <c r="B30" s="353" t="s">
        <v>396</v>
      </c>
      <c r="C30" s="346"/>
      <c r="D30" s="347"/>
      <c r="E30" s="361"/>
      <c r="F30" s="361"/>
      <c r="G30" s="361"/>
      <c r="H30" s="361"/>
      <c r="I30" s="510"/>
      <c r="J30" s="361"/>
      <c r="K30" s="322"/>
    </row>
    <row r="31">
      <c r="B31" s="354" t="s">
        <v>248</v>
      </c>
      <c r="C31" s="355"/>
      <c r="D31" s="356"/>
      <c r="E31" s="369"/>
      <c r="F31" s="369"/>
      <c r="G31" s="369"/>
      <c r="H31" s="369"/>
      <c r="I31" s="369"/>
      <c r="J31" s="369"/>
      <c r="K31" s="322"/>
    </row>
    <row r="32">
      <c r="B32" s="517" t="s">
        <v>249</v>
      </c>
      <c r="C32" s="518"/>
      <c r="D32" s="519"/>
      <c r="E32" s="520"/>
      <c r="F32" s="520"/>
      <c r="G32" s="520"/>
      <c r="H32" s="520"/>
      <c r="I32" s="520"/>
      <c r="J32" s="520"/>
      <c r="K32" s="322"/>
    </row>
    <row r="33">
      <c r="B33" s="517" t="s">
        <v>345</v>
      </c>
      <c r="C33" s="518"/>
      <c r="D33" s="519"/>
      <c r="E33" s="520"/>
      <c r="F33" s="520"/>
      <c r="G33" s="521"/>
      <c r="H33" s="520"/>
      <c r="I33" s="520"/>
      <c r="J33" s="520"/>
      <c r="K33" s="322"/>
    </row>
    <row r="34">
      <c r="B34" s="522" t="s">
        <v>346</v>
      </c>
      <c r="C34" s="518"/>
      <c r="D34" s="519"/>
      <c r="E34" s="520"/>
      <c r="F34" s="520"/>
      <c r="G34" s="523"/>
      <c r="H34" s="520"/>
      <c r="I34" s="520"/>
      <c r="J34" s="520"/>
      <c r="K34" s="322"/>
    </row>
    <row r="35">
      <c r="B35" s="524" t="s">
        <v>241</v>
      </c>
      <c r="C35" s="518"/>
      <c r="D35" s="519"/>
      <c r="E35" s="525" t="s">
        <v>245</v>
      </c>
      <c r="F35" s="525" t="s">
        <v>347</v>
      </c>
      <c r="G35" s="523"/>
      <c r="H35" s="525" t="s">
        <v>347</v>
      </c>
      <c r="I35" s="520"/>
      <c r="J35" s="525" t="s">
        <v>347</v>
      </c>
      <c r="K35" s="322"/>
    </row>
    <row r="36">
      <c r="B36" s="526" t="s">
        <v>394</v>
      </c>
      <c r="C36" s="518"/>
      <c r="D36" s="519"/>
      <c r="E36" s="520"/>
      <c r="F36" s="520"/>
      <c r="G36" s="523"/>
      <c r="H36" s="520"/>
      <c r="I36" s="520"/>
      <c r="J36" s="520"/>
      <c r="K36" s="322"/>
    </row>
    <row r="37">
      <c r="B37" s="524" t="s">
        <v>244</v>
      </c>
      <c r="C37" s="518"/>
      <c r="D37" s="519"/>
      <c r="E37" s="527" t="s">
        <v>251</v>
      </c>
      <c r="F37" s="525" t="s">
        <v>348</v>
      </c>
      <c r="G37" s="523" t="s">
        <v>251</v>
      </c>
      <c r="H37" s="525" t="s">
        <v>387</v>
      </c>
      <c r="I37" s="523" t="s">
        <v>251</v>
      </c>
      <c r="J37" s="528" t="s">
        <v>348</v>
      </c>
      <c r="K37" s="322"/>
    </row>
    <row r="38">
      <c r="B38" s="526" t="s">
        <v>395</v>
      </c>
      <c r="C38" s="518"/>
      <c r="D38" s="519"/>
      <c r="E38" s="520"/>
      <c r="F38" s="525"/>
      <c r="G38" s="523"/>
      <c r="H38" s="520"/>
      <c r="I38" s="520"/>
      <c r="J38" s="520"/>
      <c r="K38" s="322"/>
    </row>
    <row r="39" ht="23.25" customHeight="1">
      <c r="B39" s="524" t="s">
        <v>253</v>
      </c>
      <c r="C39" s="518"/>
      <c r="D39" s="519"/>
      <c r="E39" s="525" t="s">
        <v>245</v>
      </c>
      <c r="F39" s="525" t="s">
        <v>349</v>
      </c>
      <c r="G39" s="523"/>
      <c r="H39" s="525" t="s">
        <v>349</v>
      </c>
      <c r="I39" s="520"/>
      <c r="J39" s="525" t="s">
        <v>349</v>
      </c>
      <c r="K39" s="322"/>
    </row>
    <row r="40">
      <c r="B40" s="529" t="s">
        <v>396</v>
      </c>
      <c r="C40" s="518"/>
      <c r="D40" s="519"/>
      <c r="E40" s="520"/>
      <c r="F40" s="520"/>
      <c r="G40" s="523"/>
      <c r="H40" s="520"/>
      <c r="I40" s="520"/>
      <c r="J40" s="520"/>
      <c r="K40" s="322"/>
    </row>
    <row r="41" ht="3.0" customHeight="1">
      <c r="B41" s="345"/>
      <c r="C41" s="346"/>
      <c r="D41" s="347"/>
      <c r="E41" s="361"/>
      <c r="F41" s="361"/>
      <c r="G41" s="361"/>
      <c r="H41" s="361"/>
      <c r="I41" s="361"/>
      <c r="J41" s="361"/>
      <c r="K41" s="322"/>
    </row>
    <row r="42" ht="3.75" customHeight="1">
      <c r="B42" s="530"/>
      <c r="C42" s="531"/>
      <c r="D42" s="532"/>
      <c r="E42" s="532"/>
      <c r="F42" s="532"/>
      <c r="G42" s="533"/>
      <c r="H42" s="533"/>
      <c r="I42" s="533"/>
      <c r="J42" s="533"/>
      <c r="K42" s="322"/>
    </row>
    <row r="43">
      <c r="B43" s="345" t="s">
        <v>241</v>
      </c>
      <c r="C43" s="346"/>
      <c r="D43" s="347"/>
      <c r="E43" s="388" t="s">
        <v>247</v>
      </c>
      <c r="F43" s="388" t="s">
        <v>397</v>
      </c>
      <c r="G43" s="409" t="s">
        <v>247</v>
      </c>
      <c r="H43" s="534" t="s">
        <v>397</v>
      </c>
      <c r="I43" s="409" t="s">
        <v>247</v>
      </c>
      <c r="J43" s="513" t="s">
        <v>397</v>
      </c>
      <c r="K43" s="322"/>
    </row>
    <row r="44">
      <c r="B44" s="350" t="s">
        <v>394</v>
      </c>
      <c r="C44" s="346"/>
      <c r="D44" s="347"/>
      <c r="E44" s="361"/>
      <c r="F44" s="361"/>
      <c r="G44" s="470"/>
      <c r="H44" s="535"/>
      <c r="I44" s="361"/>
      <c r="J44" s="513"/>
      <c r="K44" s="322"/>
    </row>
    <row r="45">
      <c r="B45" s="345" t="s">
        <v>244</v>
      </c>
      <c r="C45" s="346"/>
      <c r="D45" s="347"/>
      <c r="E45" s="366" t="s">
        <v>350</v>
      </c>
      <c r="F45" s="534" t="s">
        <v>398</v>
      </c>
      <c r="G45" s="470" t="s">
        <v>251</v>
      </c>
      <c r="H45" s="534" t="s">
        <v>348</v>
      </c>
      <c r="I45" s="470" t="s">
        <v>388</v>
      </c>
      <c r="J45" s="514" t="s">
        <v>389</v>
      </c>
      <c r="K45" s="322"/>
    </row>
    <row r="46">
      <c r="B46" s="350" t="s">
        <v>395</v>
      </c>
      <c r="C46" s="346"/>
      <c r="D46" s="347"/>
      <c r="E46" s="361"/>
      <c r="F46" s="388" t="s">
        <v>399</v>
      </c>
      <c r="G46" s="470"/>
      <c r="H46" s="535"/>
      <c r="I46" s="361"/>
      <c r="J46" s="513" t="s">
        <v>348</v>
      </c>
      <c r="K46" s="322"/>
    </row>
    <row r="47">
      <c r="B47" s="345"/>
      <c r="C47" s="346"/>
      <c r="D47" s="347"/>
      <c r="E47" s="361"/>
      <c r="F47" s="361"/>
      <c r="G47" s="470"/>
      <c r="H47" s="535"/>
      <c r="I47" s="361"/>
      <c r="J47" s="347"/>
      <c r="K47" s="322"/>
    </row>
    <row r="48">
      <c r="B48" s="345" t="s">
        <v>253</v>
      </c>
      <c r="C48" s="346"/>
      <c r="D48" s="347"/>
      <c r="E48" s="388" t="s">
        <v>247</v>
      </c>
      <c r="F48" s="388" t="s">
        <v>400</v>
      </c>
      <c r="G48" s="470" t="s">
        <v>247</v>
      </c>
      <c r="H48" s="534" t="s">
        <v>400</v>
      </c>
      <c r="I48" s="470" t="s">
        <v>247</v>
      </c>
      <c r="J48" s="513" t="s">
        <v>400</v>
      </c>
      <c r="K48" s="322"/>
    </row>
    <row r="49">
      <c r="B49" s="368" t="s">
        <v>401</v>
      </c>
      <c r="C49" s="355"/>
      <c r="D49" s="356"/>
      <c r="E49" s="369"/>
      <c r="F49" s="369"/>
      <c r="G49" s="536"/>
      <c r="H49" s="515"/>
      <c r="I49" s="369"/>
      <c r="J49" s="356"/>
      <c r="K49" s="322"/>
    </row>
    <row r="50" ht="5.25" customHeight="1">
      <c r="D50" s="322"/>
      <c r="E50" s="322"/>
      <c r="F50" s="322"/>
      <c r="G50" s="322"/>
      <c r="H50" s="322"/>
      <c r="I50" s="322"/>
      <c r="J50" s="322"/>
      <c r="K50" s="322"/>
    </row>
    <row r="51">
      <c r="B51" s="370" t="s">
        <v>254</v>
      </c>
      <c r="D51" s="322"/>
      <c r="E51" s="322"/>
      <c r="F51" s="322"/>
      <c r="G51" s="322"/>
      <c r="H51" s="322"/>
      <c r="I51" s="322"/>
      <c r="J51" s="322"/>
      <c r="K51" s="322"/>
    </row>
    <row r="52">
      <c r="B52" s="370" t="s">
        <v>255</v>
      </c>
      <c r="D52" s="322"/>
      <c r="E52" s="322"/>
      <c r="F52" s="322"/>
      <c r="G52" s="322"/>
      <c r="H52" s="322"/>
      <c r="I52" s="322"/>
      <c r="J52" s="322"/>
      <c r="K52" s="322"/>
    </row>
    <row r="53">
      <c r="B53" s="371"/>
      <c r="D53" s="322"/>
      <c r="E53" s="322"/>
      <c r="F53" s="322"/>
      <c r="G53" s="322"/>
      <c r="H53" s="322"/>
      <c r="I53" s="322"/>
      <c r="J53" s="322"/>
      <c r="K53" s="322"/>
    </row>
    <row r="54">
      <c r="B54" s="370" t="s">
        <v>256</v>
      </c>
      <c r="D54" s="322"/>
      <c r="E54" s="322"/>
      <c r="F54" s="322"/>
      <c r="G54" s="322"/>
      <c r="H54" s="322"/>
      <c r="I54" s="322"/>
      <c r="J54" s="322"/>
      <c r="K54" s="322"/>
    </row>
    <row r="55">
      <c r="B55" s="371"/>
      <c r="D55" s="322"/>
      <c r="E55" s="322"/>
      <c r="F55" s="322"/>
      <c r="G55" s="322"/>
      <c r="H55" s="322"/>
      <c r="I55" s="322"/>
      <c r="J55" s="322"/>
      <c r="K55" s="322"/>
    </row>
    <row r="56">
      <c r="B56" s="370" t="s">
        <v>257</v>
      </c>
      <c r="D56" s="322"/>
      <c r="E56" s="322"/>
      <c r="F56" s="322"/>
      <c r="G56" s="322"/>
      <c r="H56" s="322"/>
      <c r="I56" s="322"/>
      <c r="J56" s="322"/>
      <c r="K56" s="322"/>
    </row>
    <row r="57">
      <c r="B57" s="370" t="s">
        <v>258</v>
      </c>
      <c r="D57" s="322"/>
      <c r="E57" s="322"/>
      <c r="F57" s="322"/>
      <c r="G57" s="322"/>
      <c r="H57" s="322"/>
      <c r="I57" s="322"/>
      <c r="J57" s="322"/>
      <c r="K57" s="322"/>
    </row>
    <row r="58">
      <c r="B58" s="370" t="s">
        <v>259</v>
      </c>
      <c r="D58" s="322"/>
      <c r="E58" s="322"/>
      <c r="F58" s="322"/>
      <c r="G58" s="322"/>
      <c r="H58" s="322"/>
      <c r="I58" s="322"/>
      <c r="J58" s="322"/>
      <c r="K58" s="322"/>
    </row>
    <row r="59">
      <c r="B59" s="371"/>
      <c r="D59" s="322"/>
      <c r="E59" s="322"/>
      <c r="F59" s="322"/>
      <c r="G59" s="322"/>
      <c r="H59" s="322"/>
      <c r="I59" s="322"/>
      <c r="J59" s="322"/>
      <c r="K59" s="322"/>
    </row>
    <row r="60">
      <c r="B60" s="370" t="s">
        <v>260</v>
      </c>
      <c r="D60" s="322"/>
      <c r="E60" s="322"/>
      <c r="F60" s="322"/>
      <c r="G60" s="322"/>
      <c r="H60" s="322"/>
      <c r="I60" s="322"/>
      <c r="J60" s="322"/>
      <c r="K60" s="322"/>
    </row>
    <row r="61">
      <c r="B61" s="1" t="s">
        <v>261</v>
      </c>
      <c r="D61" s="322"/>
      <c r="E61" s="322"/>
      <c r="F61" s="322"/>
      <c r="G61" s="322"/>
      <c r="H61" s="322"/>
      <c r="I61" s="322"/>
      <c r="J61" s="537" t="s">
        <v>402</v>
      </c>
      <c r="K61" s="322"/>
    </row>
  </sheetData>
  <mergeCells count="7">
    <mergeCell ref="A6:J6"/>
    <mergeCell ref="A7:J7"/>
    <mergeCell ref="A8:J8"/>
    <mergeCell ref="E20:F20"/>
    <mergeCell ref="G20:H20"/>
    <mergeCell ref="I20:J20"/>
    <mergeCell ref="G29:H29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5" width="8.43"/>
    <col customWidth="1" min="6" max="6" width="22.57"/>
    <col customWidth="1" min="7" max="7" width="14.43"/>
    <col customWidth="1" min="8" max="8" width="22.57"/>
    <col customWidth="1" min="9" max="9" width="14.43"/>
    <col customWidth="1" min="10" max="10" width="22.57"/>
    <col customWidth="1" min="11" max="11" width="2.14"/>
  </cols>
  <sheetData>
    <row r="1">
      <c r="B1" s="317"/>
      <c r="C1" s="317"/>
      <c r="D1" s="317"/>
      <c r="E1" s="317"/>
      <c r="F1" s="317"/>
      <c r="G1" s="317"/>
      <c r="H1" s="317"/>
      <c r="I1" s="317"/>
      <c r="J1" s="317"/>
      <c r="K1" s="317"/>
    </row>
    <row r="2">
      <c r="B2" s="317"/>
      <c r="C2" s="317"/>
      <c r="D2" s="317"/>
      <c r="E2" s="317"/>
      <c r="F2" s="317"/>
      <c r="G2" s="317"/>
      <c r="H2" s="317"/>
      <c r="I2" s="317"/>
      <c r="J2" s="317"/>
      <c r="K2" s="317"/>
    </row>
    <row r="3">
      <c r="B3" s="317"/>
      <c r="C3" s="317"/>
      <c r="D3" s="317"/>
      <c r="E3" s="317"/>
      <c r="F3" s="317"/>
      <c r="G3" s="317"/>
      <c r="H3" s="317"/>
      <c r="I3" s="317"/>
      <c r="J3" s="317"/>
      <c r="K3" s="317"/>
    </row>
    <row r="4">
      <c r="B4" s="317"/>
      <c r="C4" s="317"/>
      <c r="D4" s="317"/>
      <c r="E4" s="317"/>
      <c r="F4" s="317"/>
      <c r="G4" s="317"/>
      <c r="H4" s="317"/>
      <c r="I4" s="317"/>
      <c r="J4" s="317"/>
      <c r="K4" s="317"/>
    </row>
    <row r="5">
      <c r="B5" s="318"/>
      <c r="C5" s="318"/>
      <c r="D5" s="318"/>
      <c r="E5" s="318"/>
      <c r="F5" s="318"/>
      <c r="G5" s="318"/>
      <c r="H5" s="318"/>
      <c r="I5" s="318"/>
      <c r="J5" s="318"/>
      <c r="K5" s="317"/>
    </row>
    <row r="6">
      <c r="A6" s="54" t="s">
        <v>223</v>
      </c>
      <c r="K6" s="317"/>
    </row>
    <row r="7">
      <c r="A7" s="318" t="s">
        <v>379</v>
      </c>
      <c r="K7" s="319"/>
    </row>
    <row r="8">
      <c r="A8" s="318" t="s">
        <v>380</v>
      </c>
      <c r="K8" s="319"/>
    </row>
    <row r="9">
      <c r="B9" s="320" t="s">
        <v>227</v>
      </c>
      <c r="C9" s="321" t="s">
        <v>61</v>
      </c>
      <c r="D9" s="322"/>
      <c r="E9" s="322"/>
      <c r="F9" s="322"/>
      <c r="G9" s="322"/>
      <c r="H9" s="322"/>
      <c r="I9" s="322"/>
      <c r="J9" s="322"/>
      <c r="K9" s="322"/>
    </row>
    <row r="10">
      <c r="B10" s="320" t="s">
        <v>229</v>
      </c>
      <c r="C10" s="321" t="s">
        <v>379</v>
      </c>
      <c r="D10" s="322"/>
      <c r="E10" s="322"/>
      <c r="F10" s="322"/>
      <c r="G10" s="322"/>
      <c r="H10" s="322"/>
      <c r="I10" s="322"/>
      <c r="J10" s="322"/>
      <c r="K10" s="322"/>
    </row>
    <row r="11">
      <c r="B11" s="320" t="s">
        <v>338</v>
      </c>
      <c r="D11" s="69" t="s">
        <v>227</v>
      </c>
      <c r="E11" s="495" t="s">
        <v>61</v>
      </c>
      <c r="F11" s="496" t="s">
        <v>76</v>
      </c>
      <c r="H11" s="322"/>
      <c r="I11" s="322"/>
      <c r="J11" s="322"/>
      <c r="K11" s="322"/>
    </row>
    <row r="12">
      <c r="B12" s="1" t="s">
        <v>232</v>
      </c>
      <c r="D12" s="322"/>
      <c r="E12" s="330">
        <v>46000.0</v>
      </c>
      <c r="F12" s="32">
        <f>E12</f>
        <v>46000</v>
      </c>
      <c r="G12" s="322"/>
      <c r="H12" s="328" t="s">
        <v>233</v>
      </c>
      <c r="I12" s="322"/>
      <c r="J12" s="322"/>
      <c r="K12" s="322"/>
    </row>
    <row r="13">
      <c r="B13" s="329"/>
      <c r="D13" s="322"/>
      <c r="E13" s="330"/>
      <c r="G13" s="322"/>
      <c r="H13" s="322"/>
      <c r="I13" s="322"/>
      <c r="J13" s="322"/>
      <c r="K13" s="322"/>
    </row>
    <row r="14">
      <c r="B14" s="1" t="s">
        <v>234</v>
      </c>
      <c r="D14" s="322"/>
      <c r="E14" s="327">
        <v>11000.0</v>
      </c>
      <c r="F14" s="327">
        <v>11000.0</v>
      </c>
      <c r="G14" s="322"/>
      <c r="H14" s="328" t="s">
        <v>233</v>
      </c>
      <c r="I14" s="322"/>
      <c r="J14" s="322"/>
      <c r="K14" s="322"/>
    </row>
    <row r="15">
      <c r="B15" s="329"/>
      <c r="D15" s="322"/>
      <c r="E15" s="330"/>
      <c r="G15" s="322"/>
      <c r="H15" s="322"/>
      <c r="I15" s="322"/>
      <c r="J15" s="322"/>
      <c r="K15" s="322"/>
    </row>
    <row r="16">
      <c r="B16" s="1" t="s">
        <v>235</v>
      </c>
      <c r="D16" s="322"/>
      <c r="E16" s="330">
        <v>13000.0</v>
      </c>
      <c r="F16" s="1">
        <v>35000.0</v>
      </c>
      <c r="G16" s="322"/>
      <c r="H16" s="328" t="s">
        <v>233</v>
      </c>
      <c r="I16" s="322"/>
      <c r="J16" s="322"/>
      <c r="K16" s="322"/>
    </row>
    <row r="17">
      <c r="B17" s="329"/>
      <c r="D17" s="332"/>
      <c r="E17" s="331"/>
      <c r="G17" s="322"/>
      <c r="H17" s="322"/>
      <c r="I17" s="322"/>
      <c r="J17" s="322"/>
      <c r="K17" s="322"/>
    </row>
    <row r="18">
      <c r="D18" s="332" t="s">
        <v>236</v>
      </c>
      <c r="E18" s="331">
        <f t="shared" ref="E18:F18" si="1">SUM(E12:E16)</f>
        <v>70000</v>
      </c>
      <c r="F18" s="331">
        <f t="shared" si="1"/>
        <v>92000</v>
      </c>
      <c r="G18" s="322"/>
      <c r="H18" s="328" t="s">
        <v>233</v>
      </c>
      <c r="I18" s="322"/>
      <c r="J18" s="322"/>
      <c r="K18" s="322"/>
    </row>
    <row r="19" ht="10.5" customHeight="1">
      <c r="D19" s="322"/>
      <c r="E19" s="322"/>
      <c r="F19" s="322"/>
      <c r="G19" s="322"/>
      <c r="H19" s="322"/>
      <c r="I19" s="322"/>
      <c r="J19" s="322"/>
      <c r="K19" s="322"/>
    </row>
    <row r="20">
      <c r="B20" s="1"/>
      <c r="D20" s="322"/>
      <c r="E20" s="43" t="s">
        <v>163</v>
      </c>
      <c r="F20" s="45"/>
      <c r="G20" s="43" t="s">
        <v>162</v>
      </c>
      <c r="H20" s="45"/>
      <c r="I20" s="43" t="s">
        <v>164</v>
      </c>
      <c r="J20" s="45"/>
      <c r="K20" s="328"/>
    </row>
    <row r="21">
      <c r="B21" s="505" t="s">
        <v>237</v>
      </c>
      <c r="C21" s="380"/>
      <c r="D21" s="381"/>
      <c r="E21" s="506" t="s">
        <v>238</v>
      </c>
      <c r="F21" s="506" t="s">
        <v>239</v>
      </c>
      <c r="G21" s="506" t="s">
        <v>238</v>
      </c>
      <c r="H21" s="506" t="s">
        <v>381</v>
      </c>
      <c r="I21" s="506" t="s">
        <v>238</v>
      </c>
      <c r="J21" s="506" t="s">
        <v>381</v>
      </c>
      <c r="K21" s="328"/>
    </row>
    <row r="22">
      <c r="B22" s="383" t="s">
        <v>240</v>
      </c>
      <c r="C22" s="384"/>
      <c r="D22" s="385"/>
      <c r="E22" s="344"/>
      <c r="F22" s="344"/>
      <c r="G22" s="361"/>
      <c r="H22" s="361"/>
      <c r="I22" s="361"/>
      <c r="J22" s="361"/>
      <c r="K22" s="322"/>
    </row>
    <row r="23">
      <c r="B23" s="345" t="s">
        <v>241</v>
      </c>
      <c r="C23" s="346"/>
      <c r="D23" s="347"/>
      <c r="E23" s="348" t="s">
        <v>247</v>
      </c>
      <c r="F23" s="349" t="s">
        <v>339</v>
      </c>
      <c r="G23" s="366" t="s">
        <v>341</v>
      </c>
      <c r="H23" s="388" t="s">
        <v>382</v>
      </c>
      <c r="I23" s="366" t="s">
        <v>383</v>
      </c>
      <c r="J23" s="388" t="s">
        <v>384</v>
      </c>
      <c r="K23" s="322"/>
    </row>
    <row r="24">
      <c r="B24" s="350"/>
      <c r="C24" s="346"/>
      <c r="D24" s="347"/>
      <c r="E24" s="351"/>
      <c r="F24" s="349" t="s">
        <v>340</v>
      </c>
      <c r="G24" s="507"/>
      <c r="H24" s="361"/>
      <c r="I24" s="507"/>
      <c r="J24" s="361"/>
      <c r="K24" s="322"/>
    </row>
    <row r="25">
      <c r="B25" s="345"/>
      <c r="C25" s="346"/>
      <c r="D25" s="347"/>
      <c r="E25" s="348"/>
      <c r="F25" s="349"/>
      <c r="G25" s="507"/>
      <c r="H25" s="388"/>
      <c r="I25" s="507"/>
      <c r="J25" s="388"/>
      <c r="K25" s="322"/>
    </row>
    <row r="26">
      <c r="B26" s="345" t="s">
        <v>244</v>
      </c>
      <c r="C26" s="346"/>
      <c r="D26" s="347"/>
      <c r="E26" s="348" t="s">
        <v>341</v>
      </c>
      <c r="F26" s="349" t="s">
        <v>342</v>
      </c>
      <c r="G26" s="366" t="s">
        <v>383</v>
      </c>
      <c r="H26" s="388" t="s">
        <v>382</v>
      </c>
      <c r="I26" s="366" t="s">
        <v>383</v>
      </c>
      <c r="J26" s="388" t="s">
        <v>384</v>
      </c>
      <c r="K26" s="322"/>
    </row>
    <row r="27">
      <c r="B27" s="350"/>
      <c r="C27" s="346"/>
      <c r="D27" s="347"/>
      <c r="E27" s="344"/>
      <c r="F27" s="349" t="s">
        <v>343</v>
      </c>
      <c r="G27" s="361"/>
      <c r="H27" s="361"/>
      <c r="I27" s="361"/>
      <c r="J27" s="361"/>
      <c r="K27" s="322"/>
    </row>
    <row r="28">
      <c r="B28" s="345"/>
      <c r="C28" s="346"/>
      <c r="D28" s="347"/>
      <c r="E28" s="352"/>
      <c r="F28" s="349"/>
      <c r="G28" s="361"/>
      <c r="H28" s="361"/>
      <c r="I28" s="507"/>
      <c r="J28" s="388"/>
      <c r="K28" s="322"/>
    </row>
    <row r="29">
      <c r="B29" s="345" t="s">
        <v>246</v>
      </c>
      <c r="C29" s="346"/>
      <c r="D29" s="347"/>
      <c r="E29" s="352" t="s">
        <v>247</v>
      </c>
      <c r="F29" s="349" t="s">
        <v>344</v>
      </c>
      <c r="G29" s="508" t="s">
        <v>385</v>
      </c>
      <c r="H29" s="509"/>
      <c r="I29" s="366" t="s">
        <v>386</v>
      </c>
      <c r="J29" s="388" t="s">
        <v>243</v>
      </c>
      <c r="K29" s="322"/>
    </row>
    <row r="30">
      <c r="B30" s="353"/>
      <c r="C30" s="346"/>
      <c r="D30" s="347"/>
      <c r="E30" s="344"/>
      <c r="F30" s="344"/>
      <c r="G30" s="361"/>
      <c r="H30" s="361"/>
      <c r="I30" s="510"/>
      <c r="J30" s="361"/>
      <c r="K30" s="322"/>
    </row>
    <row r="31">
      <c r="B31" s="354" t="s">
        <v>248</v>
      </c>
      <c r="C31" s="355"/>
      <c r="D31" s="356"/>
      <c r="E31" s="357"/>
      <c r="F31" s="357"/>
      <c r="G31" s="369"/>
      <c r="H31" s="369"/>
      <c r="I31" s="369"/>
      <c r="J31" s="369"/>
      <c r="K31" s="322"/>
    </row>
    <row r="32">
      <c r="B32" s="502" t="s">
        <v>249</v>
      </c>
      <c r="C32" s="503"/>
      <c r="D32" s="504"/>
      <c r="E32" s="361"/>
      <c r="F32" s="361"/>
      <c r="G32" s="361"/>
      <c r="H32" s="361"/>
      <c r="I32" s="361"/>
      <c r="J32" s="361"/>
      <c r="K32" s="322"/>
    </row>
    <row r="33">
      <c r="B33" s="461"/>
      <c r="C33" s="346"/>
      <c r="D33" s="347"/>
      <c r="E33" s="361"/>
      <c r="F33" s="361"/>
      <c r="G33" s="361"/>
      <c r="H33" s="361"/>
      <c r="I33" s="361"/>
      <c r="J33" s="361"/>
      <c r="K33" s="322"/>
    </row>
    <row r="34">
      <c r="B34" s="386" t="s">
        <v>345</v>
      </c>
      <c r="C34" s="384"/>
      <c r="D34" s="385"/>
      <c r="E34" s="361"/>
      <c r="F34" s="361"/>
      <c r="G34" s="361"/>
      <c r="H34" s="361"/>
      <c r="I34" s="361"/>
      <c r="J34" s="361"/>
      <c r="K34" s="322"/>
    </row>
    <row r="35">
      <c r="B35" s="464" t="s">
        <v>346</v>
      </c>
      <c r="C35" s="346"/>
      <c r="D35" s="347"/>
      <c r="E35" s="361"/>
      <c r="F35" s="361"/>
      <c r="G35" s="344"/>
      <c r="H35" s="344"/>
      <c r="I35" s="344"/>
      <c r="J35" s="344"/>
      <c r="K35" s="322"/>
    </row>
    <row r="36">
      <c r="B36" s="345" t="s">
        <v>241</v>
      </c>
      <c r="C36" s="346"/>
      <c r="D36" s="347"/>
      <c r="E36" s="388" t="s">
        <v>245</v>
      </c>
      <c r="F36" s="388" t="s">
        <v>347</v>
      </c>
      <c r="G36" s="511"/>
      <c r="H36" s="352" t="s">
        <v>347</v>
      </c>
      <c r="I36" s="344"/>
      <c r="J36" s="352" t="s">
        <v>347</v>
      </c>
      <c r="K36" s="322"/>
    </row>
    <row r="37">
      <c r="B37" s="350"/>
      <c r="C37" s="346"/>
      <c r="D37" s="347"/>
      <c r="E37" s="361"/>
      <c r="F37" s="361"/>
      <c r="G37" s="511"/>
      <c r="H37" s="344"/>
      <c r="I37" s="344"/>
      <c r="J37" s="344"/>
      <c r="K37" s="322"/>
    </row>
    <row r="38">
      <c r="B38" s="345" t="s">
        <v>244</v>
      </c>
      <c r="C38" s="346"/>
      <c r="D38" s="347"/>
      <c r="E38" s="366" t="s">
        <v>251</v>
      </c>
      <c r="F38" s="388" t="s">
        <v>348</v>
      </c>
      <c r="G38" s="511" t="s">
        <v>251</v>
      </c>
      <c r="H38" s="352" t="s">
        <v>387</v>
      </c>
      <c r="I38" s="511" t="s">
        <v>251</v>
      </c>
      <c r="J38" s="512" t="s">
        <v>348</v>
      </c>
      <c r="K38" s="322"/>
    </row>
    <row r="39">
      <c r="B39" s="350"/>
      <c r="C39" s="346"/>
      <c r="D39" s="347"/>
      <c r="E39" s="361"/>
      <c r="F39" s="388"/>
      <c r="G39" s="511"/>
      <c r="H39" s="344"/>
      <c r="I39" s="344"/>
      <c r="J39" s="344"/>
      <c r="K39" s="322"/>
    </row>
    <row r="40" ht="23.25" customHeight="1">
      <c r="B40" s="345" t="s">
        <v>253</v>
      </c>
      <c r="C40" s="346"/>
      <c r="D40" s="347"/>
      <c r="E40" s="388" t="s">
        <v>245</v>
      </c>
      <c r="F40" s="388" t="s">
        <v>349</v>
      </c>
      <c r="G40" s="511"/>
      <c r="H40" s="352" t="s">
        <v>349</v>
      </c>
      <c r="I40" s="344"/>
      <c r="J40" s="352" t="s">
        <v>349</v>
      </c>
      <c r="K40" s="322"/>
    </row>
    <row r="41">
      <c r="B41" s="465"/>
      <c r="C41" s="346"/>
      <c r="D41" s="347"/>
      <c r="E41" s="361"/>
      <c r="F41" s="361"/>
      <c r="G41" s="511"/>
      <c r="H41" s="344"/>
      <c r="I41" s="344"/>
      <c r="J41" s="344"/>
      <c r="K41" s="322"/>
    </row>
    <row r="42">
      <c r="B42" s="466" t="s">
        <v>250</v>
      </c>
      <c r="C42" s="346"/>
      <c r="D42" s="347"/>
      <c r="E42" s="347"/>
      <c r="F42" s="361"/>
      <c r="G42" s="361"/>
      <c r="H42" s="361"/>
      <c r="I42" s="361"/>
      <c r="J42" s="513"/>
      <c r="K42" s="322"/>
    </row>
    <row r="43">
      <c r="B43" s="345" t="s">
        <v>241</v>
      </c>
      <c r="C43" s="346"/>
      <c r="D43" s="347"/>
      <c r="E43" s="366"/>
      <c r="F43" s="388" t="s">
        <v>252</v>
      </c>
      <c r="G43" s="511"/>
      <c r="H43" s="388" t="s">
        <v>252</v>
      </c>
      <c r="I43" s="470"/>
      <c r="J43" s="388" t="s">
        <v>252</v>
      </c>
      <c r="K43" s="322"/>
    </row>
    <row r="44">
      <c r="B44" s="350"/>
      <c r="C44" s="346"/>
      <c r="D44" s="347"/>
      <c r="E44" s="347"/>
      <c r="F44" s="361"/>
      <c r="G44" s="361"/>
      <c r="H44" s="361"/>
      <c r="I44" s="361"/>
      <c r="J44" s="513"/>
      <c r="K44" s="322"/>
    </row>
    <row r="45">
      <c r="B45" s="345" t="s">
        <v>244</v>
      </c>
      <c r="C45" s="346"/>
      <c r="D45" s="347"/>
      <c r="E45" s="366" t="s">
        <v>350</v>
      </c>
      <c r="F45" s="388" t="s">
        <v>351</v>
      </c>
      <c r="G45" s="511" t="s">
        <v>251</v>
      </c>
      <c r="H45" s="388" t="s">
        <v>387</v>
      </c>
      <c r="I45" s="470" t="s">
        <v>388</v>
      </c>
      <c r="J45" s="514" t="s">
        <v>389</v>
      </c>
      <c r="K45" s="322"/>
    </row>
    <row r="46">
      <c r="B46" s="350"/>
      <c r="C46" s="346"/>
      <c r="D46" s="347"/>
      <c r="E46" s="347"/>
      <c r="F46" s="388" t="s">
        <v>352</v>
      </c>
      <c r="G46" s="361"/>
      <c r="H46" s="361"/>
      <c r="I46" s="361"/>
      <c r="J46" s="513" t="s">
        <v>348</v>
      </c>
      <c r="K46" s="322"/>
    </row>
    <row r="47">
      <c r="B47" s="345"/>
      <c r="C47" s="346"/>
      <c r="D47" s="347"/>
      <c r="E47" s="347"/>
      <c r="F47" s="361"/>
      <c r="G47" s="361"/>
      <c r="H47" s="361"/>
      <c r="I47" s="361"/>
      <c r="J47" s="347"/>
      <c r="K47" s="322"/>
    </row>
    <row r="48">
      <c r="B48" s="345" t="s">
        <v>253</v>
      </c>
      <c r="C48" s="346"/>
      <c r="D48" s="347"/>
      <c r="E48" s="347"/>
      <c r="F48" s="388" t="s">
        <v>252</v>
      </c>
      <c r="G48" s="511"/>
      <c r="H48" s="388" t="s">
        <v>252</v>
      </c>
      <c r="I48" s="470"/>
      <c r="J48" s="388" t="s">
        <v>252</v>
      </c>
      <c r="K48" s="322"/>
    </row>
    <row r="49">
      <c r="B49" s="350"/>
      <c r="C49" s="346"/>
      <c r="D49" s="347"/>
      <c r="E49" s="347"/>
      <c r="F49" s="361"/>
      <c r="G49" s="361"/>
      <c r="H49" s="361"/>
      <c r="I49" s="361"/>
      <c r="J49" s="347"/>
      <c r="K49" s="322"/>
    </row>
    <row r="50">
      <c r="B50" s="368"/>
      <c r="C50" s="355"/>
      <c r="D50" s="356"/>
      <c r="E50" s="356"/>
      <c r="F50" s="369"/>
      <c r="G50" s="369"/>
      <c r="H50" s="515"/>
      <c r="I50" s="369"/>
      <c r="J50" s="356"/>
      <c r="K50" s="322"/>
    </row>
    <row r="51" ht="5.25" customHeight="1">
      <c r="D51" s="322"/>
      <c r="E51" s="322"/>
      <c r="F51" s="322"/>
      <c r="G51" s="322"/>
      <c r="H51" s="322"/>
      <c r="I51" s="322"/>
      <c r="J51" s="322"/>
      <c r="K51" s="322"/>
    </row>
    <row r="52">
      <c r="B52" s="370" t="s">
        <v>254</v>
      </c>
      <c r="D52" s="322"/>
      <c r="E52" s="322"/>
      <c r="F52" s="322"/>
      <c r="G52" s="322"/>
      <c r="H52" s="322"/>
      <c r="I52" s="322"/>
      <c r="J52" s="322"/>
      <c r="K52" s="322"/>
    </row>
    <row r="53">
      <c r="B53" s="370" t="s">
        <v>255</v>
      </c>
      <c r="D53" s="322"/>
      <c r="E53" s="322"/>
      <c r="F53" s="322"/>
      <c r="G53" s="322"/>
      <c r="H53" s="322"/>
      <c r="I53" s="322"/>
      <c r="J53" s="322"/>
      <c r="K53" s="322"/>
    </row>
    <row r="54">
      <c r="B54" s="371"/>
      <c r="D54" s="322"/>
      <c r="E54" s="322"/>
      <c r="F54" s="322"/>
      <c r="G54" s="322"/>
      <c r="H54" s="322"/>
      <c r="I54" s="322"/>
      <c r="J54" s="322"/>
      <c r="K54" s="322"/>
    </row>
    <row r="55">
      <c r="B55" s="370" t="s">
        <v>256</v>
      </c>
      <c r="D55" s="322"/>
      <c r="E55" s="322"/>
      <c r="F55" s="322"/>
      <c r="G55" s="322"/>
      <c r="H55" s="322"/>
      <c r="I55" s="322"/>
      <c r="J55" s="322"/>
      <c r="K55" s="322"/>
    </row>
    <row r="56">
      <c r="B56" s="371"/>
      <c r="D56" s="322"/>
      <c r="E56" s="322"/>
      <c r="F56" s="322"/>
      <c r="G56" s="322"/>
      <c r="H56" s="322"/>
      <c r="I56" s="322"/>
      <c r="J56" s="322"/>
      <c r="K56" s="322"/>
    </row>
    <row r="57">
      <c r="B57" s="370" t="s">
        <v>257</v>
      </c>
      <c r="D57" s="322"/>
      <c r="E57" s="322"/>
      <c r="F57" s="322"/>
      <c r="G57" s="322"/>
      <c r="H57" s="322"/>
      <c r="I57" s="322"/>
      <c r="J57" s="322"/>
      <c r="K57" s="322"/>
    </row>
    <row r="58">
      <c r="B58" s="370" t="s">
        <v>258</v>
      </c>
      <c r="D58" s="322"/>
      <c r="E58" s="322"/>
      <c r="F58" s="322"/>
      <c r="G58" s="322"/>
      <c r="H58" s="322"/>
      <c r="I58" s="322"/>
      <c r="J58" s="322"/>
      <c r="K58" s="322"/>
    </row>
    <row r="59">
      <c r="B59" s="370" t="s">
        <v>259</v>
      </c>
      <c r="D59" s="322"/>
      <c r="E59" s="322"/>
      <c r="F59" s="322"/>
      <c r="G59" s="322"/>
      <c r="H59" s="322"/>
      <c r="I59" s="322"/>
      <c r="J59" s="322"/>
      <c r="K59" s="322"/>
    </row>
    <row r="60">
      <c r="B60" s="371"/>
      <c r="D60" s="322"/>
      <c r="E60" s="322"/>
      <c r="F60" s="322"/>
      <c r="G60" s="322"/>
      <c r="H60" s="322"/>
      <c r="I60" s="322"/>
      <c r="J60" s="322"/>
      <c r="K60" s="322"/>
    </row>
    <row r="61">
      <c r="B61" s="370" t="s">
        <v>260</v>
      </c>
      <c r="D61" s="322"/>
      <c r="E61" s="322"/>
      <c r="F61" s="322"/>
      <c r="G61" s="322"/>
      <c r="H61" s="322"/>
      <c r="I61" s="322"/>
      <c r="J61" s="322"/>
      <c r="K61" s="322"/>
    </row>
    <row r="62">
      <c r="B62" s="1" t="s">
        <v>261</v>
      </c>
      <c r="D62" s="322"/>
      <c r="E62" s="322"/>
      <c r="F62" s="322"/>
      <c r="G62" s="322"/>
      <c r="H62" s="322"/>
      <c r="I62" s="322"/>
      <c r="J62" s="322"/>
      <c r="K62" s="322"/>
    </row>
    <row r="63">
      <c r="B63" s="1"/>
      <c r="D63" s="322"/>
      <c r="E63" s="322"/>
      <c r="F63" s="322"/>
      <c r="G63" s="322"/>
      <c r="H63" s="322"/>
      <c r="I63" s="322"/>
      <c r="J63" s="322"/>
      <c r="K63" s="322"/>
    </row>
    <row r="64">
      <c r="B64" s="1"/>
      <c r="D64" s="322"/>
      <c r="E64" s="322"/>
      <c r="F64" s="322"/>
      <c r="G64" s="322"/>
      <c r="H64" s="322"/>
      <c r="I64" s="322"/>
      <c r="J64" s="322"/>
      <c r="K64" s="322"/>
    </row>
    <row r="65">
      <c r="B65" s="1"/>
      <c r="D65" s="322"/>
      <c r="E65" s="322"/>
      <c r="F65" s="322"/>
      <c r="G65" s="322"/>
      <c r="H65" s="322"/>
      <c r="I65" s="322"/>
      <c r="J65" s="322"/>
      <c r="K65" s="322"/>
    </row>
    <row r="66">
      <c r="B66" s="1"/>
      <c r="D66" s="322"/>
      <c r="E66" s="322"/>
      <c r="F66" s="322"/>
      <c r="G66" s="322"/>
      <c r="H66" s="322"/>
      <c r="I66" s="322"/>
      <c r="J66" s="322"/>
      <c r="K66" s="322"/>
    </row>
    <row r="67">
      <c r="B67" s="1"/>
      <c r="D67" s="322"/>
      <c r="E67" s="322"/>
      <c r="F67" s="322"/>
      <c r="G67" s="322"/>
      <c r="H67" s="322"/>
      <c r="I67" s="322"/>
      <c r="J67" s="322"/>
      <c r="K67" s="322"/>
    </row>
    <row r="68">
      <c r="B68" s="1"/>
      <c r="D68" s="322"/>
      <c r="E68" s="322"/>
      <c r="F68" s="322"/>
      <c r="G68" s="322"/>
      <c r="H68" s="322"/>
      <c r="I68" s="322"/>
      <c r="J68" s="322"/>
      <c r="K68" s="322"/>
    </row>
    <row r="69">
      <c r="B69" s="1"/>
      <c r="D69" s="322"/>
      <c r="E69" s="322"/>
      <c r="F69" s="322"/>
      <c r="G69" s="322"/>
      <c r="H69" s="322"/>
      <c r="I69" s="322"/>
      <c r="J69" s="322"/>
      <c r="K69" s="322"/>
    </row>
    <row r="70">
      <c r="B70" s="1"/>
      <c r="D70" s="322"/>
      <c r="E70" s="322"/>
      <c r="F70" s="322"/>
      <c r="G70" s="322"/>
      <c r="H70" s="322"/>
      <c r="I70" s="322"/>
      <c r="J70" s="322"/>
      <c r="K70" s="322"/>
    </row>
    <row r="71">
      <c r="B71" s="317"/>
      <c r="C71" s="317"/>
      <c r="D71" s="317"/>
      <c r="E71" s="317"/>
      <c r="F71" s="317"/>
      <c r="G71" s="317"/>
      <c r="H71" s="317"/>
      <c r="I71" s="317"/>
      <c r="J71" s="317"/>
      <c r="K71" s="322"/>
    </row>
    <row r="72">
      <c r="B72" s="317"/>
      <c r="C72" s="317"/>
      <c r="D72" s="317"/>
      <c r="E72" s="317"/>
      <c r="F72" s="317"/>
      <c r="G72" s="317"/>
      <c r="H72" s="317"/>
      <c r="I72" s="317"/>
      <c r="J72" s="317"/>
      <c r="K72" s="322"/>
    </row>
    <row r="73">
      <c r="B73" s="317"/>
      <c r="C73" s="317"/>
      <c r="D73" s="317"/>
      <c r="E73" s="317"/>
      <c r="F73" s="317"/>
      <c r="G73" s="317"/>
      <c r="H73" s="317"/>
      <c r="I73" s="317"/>
      <c r="J73" s="317"/>
      <c r="K73" s="322"/>
    </row>
    <row r="74">
      <c r="B74" s="317"/>
      <c r="C74" s="317"/>
      <c r="D74" s="317"/>
      <c r="E74" s="317"/>
      <c r="F74" s="317"/>
      <c r="G74" s="317"/>
      <c r="H74" s="317"/>
      <c r="I74" s="317"/>
      <c r="J74" s="317"/>
      <c r="K74" s="322"/>
    </row>
    <row r="75">
      <c r="B75" s="317"/>
      <c r="C75" s="317"/>
      <c r="D75" s="317"/>
      <c r="E75" s="317"/>
      <c r="F75" s="317"/>
      <c r="G75" s="317"/>
      <c r="H75" s="317"/>
      <c r="I75" s="317"/>
      <c r="J75" s="317"/>
      <c r="K75" s="322"/>
    </row>
    <row r="76">
      <c r="B76" s="317"/>
      <c r="C76" s="317"/>
      <c r="D76" s="317"/>
      <c r="E76" s="317"/>
      <c r="F76" s="317"/>
      <c r="G76" s="317"/>
      <c r="H76" s="317"/>
      <c r="I76" s="317"/>
      <c r="J76" s="317"/>
      <c r="K76" s="322"/>
    </row>
    <row r="77">
      <c r="B77" s="318"/>
      <c r="C77" s="318"/>
      <c r="D77" s="318"/>
      <c r="E77" s="318"/>
      <c r="F77" s="318"/>
      <c r="G77" s="318"/>
      <c r="H77" s="318"/>
      <c r="I77" s="318"/>
      <c r="J77" s="318"/>
      <c r="K77" s="322"/>
    </row>
    <row r="78">
      <c r="A78" s="372" t="s">
        <v>262</v>
      </c>
      <c r="K78" s="322"/>
    </row>
    <row r="79">
      <c r="A79" s="318" t="s">
        <v>379</v>
      </c>
      <c r="K79" s="322"/>
    </row>
    <row r="80">
      <c r="A80" s="318" t="s">
        <v>380</v>
      </c>
      <c r="K80" s="322"/>
    </row>
    <row r="81">
      <c r="B81" s="373" t="s">
        <v>265</v>
      </c>
      <c r="C81" s="321" t="s">
        <v>353</v>
      </c>
      <c r="D81" s="322"/>
      <c r="E81" s="322"/>
      <c r="F81" s="322"/>
      <c r="G81" s="322"/>
      <c r="H81" s="322"/>
      <c r="I81" s="322"/>
      <c r="J81" s="322"/>
      <c r="K81" s="322"/>
    </row>
    <row r="82">
      <c r="B82" s="373" t="s">
        <v>354</v>
      </c>
      <c r="C82" s="321" t="s">
        <v>379</v>
      </c>
      <c r="D82" s="322"/>
      <c r="E82" s="322"/>
      <c r="F82" s="322"/>
      <c r="G82" s="322"/>
      <c r="H82" s="322"/>
      <c r="I82" s="322"/>
      <c r="J82" s="322"/>
      <c r="K82" s="322"/>
    </row>
    <row r="83">
      <c r="B83" s="373" t="s">
        <v>266</v>
      </c>
      <c r="D83" s="322"/>
      <c r="E83" s="322"/>
      <c r="F83" s="322"/>
      <c r="G83" s="322"/>
      <c r="H83" s="322"/>
      <c r="I83" s="322"/>
      <c r="J83" s="322"/>
      <c r="K83" s="322"/>
    </row>
    <row r="84">
      <c r="B84" s="1" t="s">
        <v>270</v>
      </c>
      <c r="D84" s="322"/>
      <c r="E84" s="330">
        <v>46000.0</v>
      </c>
      <c r="F84" s="328" t="s">
        <v>233</v>
      </c>
      <c r="G84" s="322"/>
      <c r="H84" s="322"/>
      <c r="I84" s="322"/>
      <c r="J84" s="322"/>
      <c r="K84" s="322"/>
    </row>
    <row r="85">
      <c r="B85" s="329"/>
      <c r="D85" s="322"/>
      <c r="E85" s="330"/>
      <c r="F85" s="322"/>
      <c r="G85" s="322"/>
      <c r="H85" s="322"/>
      <c r="I85" s="322"/>
      <c r="J85" s="322"/>
      <c r="K85" s="322"/>
    </row>
    <row r="86">
      <c r="B86" s="1" t="s">
        <v>271</v>
      </c>
      <c r="D86" s="322"/>
      <c r="E86" s="330">
        <v>8000.0</v>
      </c>
      <c r="F86" s="328" t="s">
        <v>233</v>
      </c>
      <c r="G86" s="322"/>
      <c r="H86" s="322"/>
      <c r="I86" s="322"/>
      <c r="J86" s="322"/>
      <c r="K86" s="322"/>
    </row>
    <row r="87">
      <c r="B87" s="329"/>
      <c r="D87" s="322"/>
      <c r="E87" s="330"/>
      <c r="F87" s="322"/>
      <c r="G87" s="322"/>
      <c r="H87" s="322"/>
      <c r="I87" s="322"/>
      <c r="J87" s="322"/>
      <c r="K87" s="322"/>
    </row>
    <row r="88">
      <c r="B88" s="1" t="s">
        <v>272</v>
      </c>
      <c r="D88" s="322"/>
      <c r="E88" s="330">
        <v>13000.0</v>
      </c>
      <c r="F88" s="328" t="s">
        <v>233</v>
      </c>
      <c r="G88" s="322"/>
      <c r="H88" s="322"/>
      <c r="I88" s="322"/>
      <c r="J88" s="322"/>
      <c r="K88" s="322"/>
    </row>
    <row r="89">
      <c r="B89" s="329"/>
      <c r="D89" s="332"/>
      <c r="E89" s="331"/>
      <c r="F89" s="322"/>
      <c r="G89" s="322"/>
      <c r="H89" s="322"/>
      <c r="I89" s="322"/>
      <c r="J89" s="322"/>
      <c r="K89" s="322"/>
    </row>
    <row r="90">
      <c r="D90" s="467" t="s">
        <v>273</v>
      </c>
      <c r="E90" s="331">
        <f>SUM(E84:E88)</f>
        <v>67000</v>
      </c>
      <c r="F90" s="328" t="s">
        <v>233</v>
      </c>
      <c r="G90" s="322"/>
      <c r="H90" s="322"/>
      <c r="I90" s="322"/>
      <c r="J90" s="322"/>
      <c r="K90" s="322"/>
    </row>
    <row r="91">
      <c r="D91" s="322"/>
      <c r="E91" s="322"/>
      <c r="F91" s="322"/>
      <c r="G91" s="322"/>
      <c r="H91" s="322"/>
      <c r="I91" s="322"/>
      <c r="J91" s="322"/>
      <c r="K91" s="322"/>
    </row>
    <row r="92">
      <c r="B92" s="1"/>
      <c r="D92" s="322"/>
      <c r="E92" s="43" t="s">
        <v>163</v>
      </c>
      <c r="F92" s="45"/>
      <c r="G92" s="43" t="s">
        <v>162</v>
      </c>
      <c r="H92" s="45"/>
      <c r="I92" s="43" t="s">
        <v>164</v>
      </c>
      <c r="J92" s="45"/>
      <c r="K92" s="322"/>
    </row>
    <row r="93">
      <c r="B93" s="379" t="s">
        <v>274</v>
      </c>
      <c r="C93" s="380"/>
      <c r="D93" s="381"/>
      <c r="E93" s="382" t="s">
        <v>275</v>
      </c>
      <c r="F93" s="382" t="s">
        <v>276</v>
      </c>
      <c r="G93" s="382" t="s">
        <v>275</v>
      </c>
      <c r="H93" s="382" t="s">
        <v>390</v>
      </c>
      <c r="I93" s="382" t="s">
        <v>275</v>
      </c>
      <c r="J93" s="382" t="s">
        <v>390</v>
      </c>
      <c r="K93" s="322"/>
    </row>
    <row r="94">
      <c r="B94" s="383" t="s">
        <v>277</v>
      </c>
      <c r="C94" s="384"/>
      <c r="D94" s="385"/>
      <c r="E94" s="344"/>
      <c r="F94" s="344"/>
      <c r="G94" s="361"/>
      <c r="H94" s="361"/>
      <c r="I94" s="361"/>
      <c r="J94" s="361"/>
      <c r="K94" s="322"/>
    </row>
    <row r="95">
      <c r="B95" s="345" t="s">
        <v>278</v>
      </c>
      <c r="C95" s="346"/>
      <c r="D95" s="347"/>
      <c r="E95" s="348" t="s">
        <v>247</v>
      </c>
      <c r="F95" s="349" t="s">
        <v>339</v>
      </c>
      <c r="G95" s="366" t="s">
        <v>341</v>
      </c>
      <c r="H95" s="388" t="s">
        <v>382</v>
      </c>
      <c r="I95" s="366" t="s">
        <v>383</v>
      </c>
      <c r="J95" s="388" t="s">
        <v>384</v>
      </c>
      <c r="K95" s="322"/>
    </row>
    <row r="96">
      <c r="B96" s="350"/>
      <c r="C96" s="346"/>
      <c r="D96" s="347"/>
      <c r="E96" s="351"/>
      <c r="F96" s="349" t="s">
        <v>340</v>
      </c>
      <c r="G96" s="507"/>
      <c r="H96" s="361"/>
      <c r="I96" s="507"/>
      <c r="J96" s="361"/>
      <c r="K96" s="322"/>
    </row>
    <row r="97">
      <c r="B97" s="345"/>
      <c r="C97" s="346"/>
      <c r="D97" s="347"/>
      <c r="E97" s="348"/>
      <c r="F97" s="349"/>
      <c r="G97" s="507"/>
      <c r="H97" s="388"/>
      <c r="I97" s="507"/>
      <c r="J97" s="388"/>
      <c r="K97" s="322"/>
    </row>
    <row r="98">
      <c r="B98" s="345" t="s">
        <v>279</v>
      </c>
      <c r="C98" s="346"/>
      <c r="D98" s="347"/>
      <c r="E98" s="348" t="s">
        <v>341</v>
      </c>
      <c r="F98" s="349" t="s">
        <v>342</v>
      </c>
      <c r="G98" s="366" t="s">
        <v>383</v>
      </c>
      <c r="H98" s="388" t="s">
        <v>382</v>
      </c>
      <c r="I98" s="366" t="s">
        <v>383</v>
      </c>
      <c r="J98" s="388" t="s">
        <v>384</v>
      </c>
      <c r="K98" s="322"/>
    </row>
    <row r="99">
      <c r="B99" s="350"/>
      <c r="C99" s="346"/>
      <c r="D99" s="347"/>
      <c r="E99" s="344"/>
      <c r="F99" s="349" t="s">
        <v>343</v>
      </c>
      <c r="G99" s="361"/>
      <c r="H99" s="361"/>
      <c r="I99" s="361"/>
      <c r="J99" s="361"/>
      <c r="K99" s="322"/>
    </row>
    <row r="100">
      <c r="B100" s="345"/>
      <c r="C100" s="346"/>
      <c r="D100" s="347"/>
      <c r="E100" s="352"/>
      <c r="F100" s="349"/>
      <c r="G100" s="361"/>
      <c r="H100" s="361"/>
      <c r="I100" s="507"/>
      <c r="J100" s="388"/>
      <c r="K100" s="322"/>
    </row>
    <row r="101">
      <c r="B101" s="345" t="s">
        <v>280</v>
      </c>
      <c r="C101" s="346"/>
      <c r="D101" s="347"/>
      <c r="E101" s="352" t="s">
        <v>247</v>
      </c>
      <c r="F101" s="349" t="s">
        <v>344</v>
      </c>
      <c r="G101" s="508" t="s">
        <v>385</v>
      </c>
      <c r="H101" s="509"/>
      <c r="I101" s="366" t="s">
        <v>386</v>
      </c>
      <c r="J101" s="388" t="s">
        <v>243</v>
      </c>
      <c r="K101" s="322"/>
    </row>
    <row r="102">
      <c r="B102" s="353"/>
      <c r="C102" s="346"/>
      <c r="D102" s="347"/>
      <c r="E102" s="344"/>
      <c r="F102" s="344"/>
      <c r="G102" s="361"/>
      <c r="H102" s="361"/>
      <c r="I102" s="510"/>
      <c r="J102" s="361"/>
      <c r="K102" s="322"/>
    </row>
    <row r="103">
      <c r="B103" s="354" t="s">
        <v>248</v>
      </c>
      <c r="C103" s="355"/>
      <c r="D103" s="356"/>
      <c r="E103" s="357"/>
      <c r="F103" s="357"/>
      <c r="G103" s="369"/>
      <c r="H103" s="369"/>
      <c r="I103" s="369"/>
      <c r="J103" s="369"/>
      <c r="K103" s="322"/>
    </row>
    <row r="104">
      <c r="B104" s="461"/>
      <c r="C104" s="346"/>
      <c r="D104" s="347"/>
      <c r="E104" s="468"/>
      <c r="F104" s="361"/>
      <c r="G104" s="361"/>
      <c r="H104" s="361"/>
      <c r="I104" s="361"/>
      <c r="J104" s="361"/>
      <c r="K104" s="322"/>
    </row>
    <row r="105">
      <c r="B105" s="502" t="s">
        <v>355</v>
      </c>
      <c r="C105" s="503"/>
      <c r="D105" s="504"/>
      <c r="E105" s="361"/>
      <c r="F105" s="361"/>
      <c r="G105" s="361"/>
      <c r="H105" s="361"/>
      <c r="I105" s="361"/>
      <c r="J105" s="361"/>
      <c r="K105" s="322"/>
    </row>
    <row r="106">
      <c r="B106" s="469" t="s">
        <v>356</v>
      </c>
      <c r="C106" s="346"/>
      <c r="D106" s="347"/>
      <c r="E106" s="361"/>
      <c r="F106" s="361"/>
      <c r="G106" s="361"/>
      <c r="H106" s="361"/>
      <c r="I106" s="361"/>
      <c r="J106" s="361"/>
      <c r="K106" s="322"/>
    </row>
    <row r="107">
      <c r="B107" s="464" t="s">
        <v>346</v>
      </c>
      <c r="C107" s="346"/>
      <c r="D107" s="347"/>
      <c r="E107" s="361"/>
      <c r="F107" s="361"/>
      <c r="G107" s="344"/>
      <c r="H107" s="344"/>
      <c r="I107" s="344"/>
      <c r="J107" s="344"/>
      <c r="K107" s="322"/>
    </row>
    <row r="108">
      <c r="B108" s="345" t="s">
        <v>278</v>
      </c>
      <c r="C108" s="346"/>
      <c r="D108" s="347"/>
      <c r="E108" s="388" t="s">
        <v>245</v>
      </c>
      <c r="F108" s="388" t="s">
        <v>347</v>
      </c>
      <c r="G108" s="511"/>
      <c r="H108" s="352" t="s">
        <v>347</v>
      </c>
      <c r="I108" s="344"/>
      <c r="J108" s="352" t="s">
        <v>347</v>
      </c>
      <c r="K108" s="322"/>
    </row>
    <row r="109">
      <c r="B109" s="350"/>
      <c r="C109" s="346"/>
      <c r="D109" s="347"/>
      <c r="E109" s="361"/>
      <c r="F109" s="361"/>
      <c r="G109" s="511"/>
      <c r="H109" s="344"/>
      <c r="I109" s="344"/>
      <c r="J109" s="344"/>
      <c r="K109" s="322"/>
    </row>
    <row r="110">
      <c r="B110" s="345" t="s">
        <v>279</v>
      </c>
      <c r="C110" s="346"/>
      <c r="D110" s="347"/>
      <c r="E110" s="470" t="s">
        <v>251</v>
      </c>
      <c r="F110" s="388" t="s">
        <v>348</v>
      </c>
      <c r="G110" s="511" t="s">
        <v>251</v>
      </c>
      <c r="H110" s="352" t="s">
        <v>387</v>
      </c>
      <c r="I110" s="511" t="s">
        <v>251</v>
      </c>
      <c r="J110" s="512" t="s">
        <v>348</v>
      </c>
      <c r="K110" s="322"/>
    </row>
    <row r="111">
      <c r="B111" s="350"/>
      <c r="C111" s="346"/>
      <c r="D111" s="347"/>
      <c r="E111" s="361"/>
      <c r="F111" s="388"/>
      <c r="G111" s="511"/>
      <c r="H111" s="344"/>
      <c r="I111" s="344"/>
      <c r="J111" s="344"/>
      <c r="K111" s="322"/>
    </row>
    <row r="112">
      <c r="B112" s="345" t="s">
        <v>280</v>
      </c>
      <c r="C112" s="346"/>
      <c r="D112" s="347"/>
      <c r="E112" s="388" t="s">
        <v>245</v>
      </c>
      <c r="F112" s="388" t="s">
        <v>349</v>
      </c>
      <c r="G112" s="511"/>
      <c r="H112" s="352" t="s">
        <v>349</v>
      </c>
      <c r="I112" s="344"/>
      <c r="J112" s="352" t="s">
        <v>349</v>
      </c>
      <c r="K112" s="322"/>
    </row>
    <row r="113">
      <c r="B113" s="465"/>
      <c r="C113" s="346"/>
      <c r="D113" s="347"/>
      <c r="E113" s="361"/>
      <c r="F113" s="361"/>
      <c r="G113" s="511"/>
      <c r="H113" s="344"/>
      <c r="I113" s="344"/>
      <c r="J113" s="344"/>
      <c r="K113" s="322"/>
    </row>
    <row r="114">
      <c r="B114" s="386" t="s">
        <v>281</v>
      </c>
      <c r="C114" s="384"/>
      <c r="D114" s="385"/>
      <c r="E114" s="361"/>
      <c r="F114" s="361"/>
      <c r="G114" s="361"/>
      <c r="H114" s="361"/>
      <c r="I114" s="361"/>
      <c r="J114" s="361"/>
      <c r="K114" s="322"/>
    </row>
    <row r="115">
      <c r="B115" s="345" t="s">
        <v>278</v>
      </c>
      <c r="C115" s="346"/>
      <c r="D115" s="347"/>
      <c r="E115" s="361"/>
      <c r="F115" s="361" t="s">
        <v>282</v>
      </c>
      <c r="G115" s="361"/>
      <c r="H115" s="361" t="s">
        <v>282</v>
      </c>
      <c r="I115" s="361"/>
      <c r="J115" s="513" t="s">
        <v>282</v>
      </c>
      <c r="K115" s="322"/>
    </row>
    <row r="116">
      <c r="B116" s="350"/>
      <c r="D116" s="346"/>
      <c r="E116" s="361"/>
      <c r="F116" s="361"/>
      <c r="G116" s="361"/>
      <c r="H116" s="361"/>
      <c r="I116" s="361"/>
      <c r="J116" s="513"/>
      <c r="K116" s="322"/>
    </row>
    <row r="117">
      <c r="B117" s="345" t="s">
        <v>279</v>
      </c>
      <c r="C117" s="346"/>
      <c r="D117" s="347"/>
      <c r="E117" s="470" t="s">
        <v>350</v>
      </c>
      <c r="F117" s="388" t="s">
        <v>351</v>
      </c>
      <c r="G117" s="511" t="s">
        <v>251</v>
      </c>
      <c r="H117" s="388" t="s">
        <v>387</v>
      </c>
      <c r="I117" s="470" t="s">
        <v>388</v>
      </c>
      <c r="J117" s="514" t="s">
        <v>389</v>
      </c>
      <c r="K117" s="322"/>
    </row>
    <row r="118">
      <c r="B118" s="350"/>
      <c r="C118" s="346"/>
      <c r="D118" s="347"/>
      <c r="E118" s="361"/>
      <c r="F118" s="388" t="s">
        <v>352</v>
      </c>
      <c r="G118" s="361"/>
      <c r="H118" s="361"/>
      <c r="I118" s="361"/>
      <c r="J118" s="513" t="s">
        <v>348</v>
      </c>
      <c r="K118" s="322"/>
    </row>
    <row r="119">
      <c r="B119" s="345"/>
      <c r="C119" s="346"/>
      <c r="D119" s="347"/>
      <c r="E119" s="361"/>
      <c r="F119" s="361"/>
      <c r="G119" s="361"/>
      <c r="H119" s="361"/>
      <c r="I119" s="361"/>
      <c r="J119" s="347"/>
      <c r="K119" s="322"/>
    </row>
    <row r="120">
      <c r="B120" s="389" t="s">
        <v>283</v>
      </c>
      <c r="C120" s="346"/>
      <c r="D120" s="347"/>
      <c r="E120" s="361"/>
      <c r="F120" s="471" t="s">
        <v>282</v>
      </c>
      <c r="G120" s="361"/>
      <c r="H120" s="471" t="s">
        <v>282</v>
      </c>
      <c r="I120" s="470"/>
      <c r="J120" s="516" t="s">
        <v>282</v>
      </c>
      <c r="K120" s="322"/>
    </row>
    <row r="121">
      <c r="B121" s="350"/>
      <c r="C121" s="346"/>
      <c r="D121" s="347"/>
      <c r="E121" s="361"/>
      <c r="F121" s="361"/>
      <c r="G121" s="361"/>
      <c r="H121" s="361"/>
      <c r="I121" s="361"/>
      <c r="J121" s="347"/>
      <c r="K121" s="322"/>
    </row>
    <row r="122">
      <c r="B122" s="368"/>
      <c r="C122" s="355"/>
      <c r="D122" s="356"/>
      <c r="E122" s="369"/>
      <c r="F122" s="369"/>
      <c r="G122" s="369"/>
      <c r="H122" s="515"/>
      <c r="I122" s="369"/>
      <c r="J122" s="356"/>
      <c r="K122" s="322"/>
    </row>
    <row r="123">
      <c r="D123" s="322"/>
      <c r="E123" s="322"/>
      <c r="F123" s="322"/>
      <c r="G123" s="322"/>
      <c r="H123" s="322"/>
      <c r="I123" s="322"/>
      <c r="J123" s="322"/>
      <c r="K123" s="322"/>
    </row>
    <row r="124">
      <c r="B124" s="370" t="s">
        <v>254</v>
      </c>
      <c r="D124" s="322"/>
      <c r="E124" s="322"/>
      <c r="F124" s="322"/>
      <c r="G124" s="322"/>
      <c r="H124" s="322"/>
      <c r="I124" s="322"/>
      <c r="J124" s="322"/>
      <c r="K124" s="322"/>
    </row>
    <row r="125">
      <c r="B125" s="370" t="s">
        <v>255</v>
      </c>
      <c r="D125" s="322"/>
      <c r="E125" s="322"/>
      <c r="F125" s="322"/>
      <c r="G125" s="322"/>
      <c r="H125" s="322"/>
      <c r="I125" s="322"/>
      <c r="J125" s="322"/>
      <c r="K125" s="322"/>
    </row>
    <row r="126">
      <c r="B126" s="371"/>
      <c r="D126" s="322"/>
      <c r="E126" s="322"/>
      <c r="F126" s="322"/>
      <c r="G126" s="322"/>
      <c r="H126" s="322"/>
      <c r="I126" s="322"/>
      <c r="J126" s="322"/>
      <c r="K126" s="322"/>
    </row>
    <row r="127">
      <c r="B127" s="370" t="s">
        <v>256</v>
      </c>
      <c r="D127" s="322"/>
      <c r="E127" s="322"/>
      <c r="F127" s="322"/>
      <c r="G127" s="322"/>
      <c r="H127" s="322"/>
      <c r="I127" s="322"/>
      <c r="J127" s="322"/>
      <c r="K127" s="322"/>
    </row>
    <row r="128">
      <c r="B128" s="371"/>
      <c r="D128" s="322"/>
      <c r="E128" s="322"/>
      <c r="F128" s="322"/>
      <c r="G128" s="322"/>
      <c r="H128" s="322"/>
      <c r="I128" s="322"/>
      <c r="J128" s="322"/>
      <c r="K128" s="322"/>
    </row>
    <row r="129">
      <c r="B129" s="370" t="s">
        <v>257</v>
      </c>
      <c r="D129" s="322"/>
      <c r="E129" s="322"/>
      <c r="F129" s="322"/>
      <c r="G129" s="322"/>
      <c r="H129" s="322"/>
      <c r="I129" s="322"/>
      <c r="J129" s="322"/>
      <c r="K129" s="322"/>
    </row>
    <row r="130">
      <c r="B130" s="370" t="s">
        <v>258</v>
      </c>
      <c r="D130" s="322"/>
      <c r="E130" s="322"/>
      <c r="F130" s="322"/>
      <c r="G130" s="322"/>
      <c r="H130" s="322"/>
      <c r="I130" s="322"/>
      <c r="J130" s="322"/>
      <c r="K130" s="322"/>
    </row>
    <row r="131">
      <c r="B131" s="370" t="s">
        <v>259</v>
      </c>
      <c r="D131" s="322"/>
      <c r="E131" s="322"/>
      <c r="F131" s="322"/>
      <c r="G131" s="322"/>
      <c r="H131" s="322"/>
      <c r="I131" s="322"/>
      <c r="J131" s="322"/>
      <c r="K131" s="322"/>
    </row>
    <row r="132">
      <c r="B132" s="371"/>
      <c r="D132" s="322"/>
      <c r="E132" s="322"/>
      <c r="F132" s="322"/>
      <c r="G132" s="322"/>
      <c r="H132" s="322"/>
      <c r="I132" s="322"/>
      <c r="J132" s="322"/>
      <c r="K132" s="322"/>
    </row>
    <row r="133">
      <c r="B133" s="370" t="s">
        <v>260</v>
      </c>
      <c r="D133" s="322"/>
      <c r="E133" s="322"/>
      <c r="F133" s="322"/>
      <c r="G133" s="322"/>
      <c r="H133" s="322"/>
      <c r="I133" s="322"/>
      <c r="J133" s="322"/>
      <c r="K133" s="322"/>
    </row>
    <row r="134">
      <c r="B134" s="1" t="s">
        <v>261</v>
      </c>
      <c r="D134" s="322"/>
      <c r="E134" s="322"/>
      <c r="F134" s="322"/>
      <c r="G134" s="322"/>
      <c r="H134" s="322"/>
      <c r="I134" s="322"/>
      <c r="J134" s="322"/>
      <c r="K134" s="322"/>
    </row>
    <row r="135">
      <c r="B135" s="1"/>
      <c r="D135" s="322"/>
      <c r="E135" s="322"/>
      <c r="F135" s="322"/>
      <c r="G135" s="322"/>
      <c r="H135" s="322"/>
      <c r="I135" s="322"/>
      <c r="J135" s="322"/>
      <c r="K135" s="322"/>
    </row>
  </sheetData>
  <mergeCells count="14">
    <mergeCell ref="A78:J78"/>
    <mergeCell ref="A79:J79"/>
    <mergeCell ref="A80:J80"/>
    <mergeCell ref="E92:F92"/>
    <mergeCell ref="G92:H92"/>
    <mergeCell ref="I92:J92"/>
    <mergeCell ref="G101:H101"/>
    <mergeCell ref="A6:J6"/>
    <mergeCell ref="A7:J7"/>
    <mergeCell ref="A8:J8"/>
    <mergeCell ref="E20:F20"/>
    <mergeCell ref="G20:H20"/>
    <mergeCell ref="I20:J20"/>
    <mergeCell ref="G29:H29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5" width="11.86"/>
    <col customWidth="1" min="6" max="6" width="24.57"/>
    <col customWidth="1" min="7" max="7" width="11.86"/>
    <col customWidth="1" min="8" max="8" width="23.71"/>
    <col customWidth="1" min="9" max="9" width="11.86"/>
    <col customWidth="1" min="10" max="10" width="23.71"/>
    <col customWidth="1" min="11" max="11" width="2.14"/>
  </cols>
  <sheetData>
    <row r="1">
      <c r="B1" s="317"/>
      <c r="C1" s="317"/>
      <c r="D1" s="317"/>
      <c r="E1" s="317"/>
      <c r="F1" s="317"/>
      <c r="G1" s="317"/>
      <c r="H1" s="317"/>
      <c r="I1" s="317"/>
      <c r="J1" s="317"/>
      <c r="K1" s="317"/>
    </row>
    <row r="2">
      <c r="B2" s="317"/>
      <c r="C2" s="317"/>
      <c r="D2" s="317"/>
      <c r="E2" s="317"/>
      <c r="F2" s="317"/>
      <c r="G2" s="317"/>
      <c r="H2" s="317"/>
      <c r="I2" s="317"/>
      <c r="J2" s="317"/>
      <c r="K2" s="317"/>
    </row>
    <row r="3">
      <c r="B3" s="317"/>
      <c r="C3" s="317"/>
      <c r="D3" s="317"/>
      <c r="E3" s="317"/>
      <c r="F3" s="317"/>
      <c r="G3" s="317"/>
      <c r="H3" s="317"/>
      <c r="I3" s="317"/>
      <c r="J3" s="317"/>
      <c r="K3" s="317"/>
    </row>
    <row r="4">
      <c r="B4" s="317"/>
      <c r="C4" s="317"/>
      <c r="D4" s="317"/>
      <c r="E4" s="317"/>
      <c r="F4" s="317"/>
      <c r="G4" s="317"/>
      <c r="H4" s="317"/>
      <c r="I4" s="317"/>
      <c r="J4" s="317"/>
      <c r="K4" s="317"/>
    </row>
    <row r="5">
      <c r="B5" s="318"/>
      <c r="C5" s="318"/>
      <c r="D5" s="318"/>
      <c r="E5" s="318"/>
      <c r="F5" s="318"/>
      <c r="G5" s="318"/>
      <c r="H5" s="318"/>
      <c r="I5" s="318"/>
      <c r="J5" s="318"/>
      <c r="K5" s="317"/>
    </row>
    <row r="6">
      <c r="A6" s="54" t="s">
        <v>223</v>
      </c>
      <c r="K6" s="317"/>
    </row>
    <row r="7">
      <c r="A7" s="318" t="s">
        <v>379</v>
      </c>
      <c r="K7" s="319"/>
    </row>
    <row r="8">
      <c r="A8" s="318" t="s">
        <v>380</v>
      </c>
      <c r="K8" s="319"/>
    </row>
    <row r="9">
      <c r="B9" s="320" t="s">
        <v>227</v>
      </c>
      <c r="C9" s="321" t="s">
        <v>61</v>
      </c>
      <c r="D9" s="322"/>
      <c r="E9" s="322"/>
      <c r="F9" s="322"/>
      <c r="G9" s="322"/>
      <c r="H9" s="322"/>
      <c r="I9" s="322"/>
      <c r="J9" s="322"/>
      <c r="K9" s="322"/>
    </row>
    <row r="10">
      <c r="B10" s="320" t="s">
        <v>229</v>
      </c>
      <c r="C10" s="321" t="s">
        <v>379</v>
      </c>
      <c r="D10" s="322"/>
      <c r="E10" s="322"/>
      <c r="F10" s="322"/>
      <c r="G10" s="322"/>
      <c r="H10" s="322"/>
      <c r="I10" s="322"/>
      <c r="J10" s="322"/>
      <c r="K10" s="322"/>
    </row>
    <row r="11">
      <c r="B11" s="320" t="s">
        <v>338</v>
      </c>
      <c r="D11" s="322"/>
      <c r="E11" s="322"/>
      <c r="F11" s="322"/>
      <c r="G11" s="322"/>
      <c r="H11" s="322"/>
      <c r="I11" s="322"/>
      <c r="J11" s="322"/>
      <c r="K11" s="322"/>
    </row>
    <row r="12">
      <c r="B12" s="1" t="s">
        <v>232</v>
      </c>
      <c r="D12" s="322"/>
      <c r="E12" s="327">
        <v>46000.0</v>
      </c>
      <c r="F12" s="328" t="s">
        <v>233</v>
      </c>
      <c r="G12" s="322"/>
      <c r="H12" s="322"/>
      <c r="I12" s="322"/>
      <c r="J12" s="322"/>
      <c r="K12" s="322"/>
    </row>
    <row r="13">
      <c r="B13" s="329" t="s">
        <v>391</v>
      </c>
      <c r="D13" s="322"/>
      <c r="E13" s="330"/>
      <c r="F13" s="322"/>
      <c r="G13" s="322"/>
      <c r="H13" s="322"/>
      <c r="I13" s="322"/>
      <c r="J13" s="322"/>
      <c r="K13" s="322"/>
    </row>
    <row r="14">
      <c r="B14" s="1" t="s">
        <v>234</v>
      </c>
      <c r="D14" s="322"/>
      <c r="E14" s="327">
        <v>10000.0</v>
      </c>
      <c r="F14" s="328" t="s">
        <v>233</v>
      </c>
      <c r="G14" s="322"/>
      <c r="H14" s="322"/>
      <c r="I14" s="322"/>
      <c r="J14" s="322"/>
      <c r="K14" s="322"/>
    </row>
    <row r="15">
      <c r="B15" s="329" t="s">
        <v>392</v>
      </c>
      <c r="D15" s="322"/>
      <c r="E15" s="330"/>
      <c r="F15" s="322"/>
      <c r="G15" s="322"/>
      <c r="H15" s="322"/>
      <c r="I15" s="322"/>
      <c r="J15" s="322"/>
      <c r="K15" s="322"/>
    </row>
    <row r="16">
      <c r="B16" s="1" t="s">
        <v>235</v>
      </c>
      <c r="D16" s="322"/>
      <c r="E16" s="327">
        <v>16000.0</v>
      </c>
      <c r="F16" s="328" t="s">
        <v>233</v>
      </c>
      <c r="G16" s="322"/>
      <c r="H16" s="322"/>
      <c r="I16" s="322"/>
      <c r="J16" s="322"/>
      <c r="K16" s="322"/>
    </row>
    <row r="17">
      <c r="B17" s="329" t="s">
        <v>393</v>
      </c>
      <c r="D17" s="332"/>
      <c r="E17" s="331"/>
      <c r="F17" s="322"/>
      <c r="G17" s="322"/>
      <c r="H17" s="322"/>
      <c r="I17" s="322"/>
      <c r="J17" s="322"/>
      <c r="K17" s="322"/>
    </row>
    <row r="18">
      <c r="D18" s="332" t="s">
        <v>236</v>
      </c>
      <c r="E18" s="331">
        <f>SUM(E12:E16)</f>
        <v>72000</v>
      </c>
      <c r="F18" s="328" t="s">
        <v>233</v>
      </c>
      <c r="G18" s="322"/>
      <c r="H18" s="322"/>
      <c r="I18" s="322"/>
      <c r="J18" s="322"/>
      <c r="K18" s="322"/>
    </row>
    <row r="19" ht="10.5" customHeight="1">
      <c r="D19" s="322"/>
      <c r="E19" s="322"/>
      <c r="F19" s="322"/>
      <c r="G19" s="322"/>
      <c r="H19" s="322"/>
      <c r="I19" s="322"/>
      <c r="J19" s="322"/>
      <c r="K19" s="322"/>
    </row>
    <row r="20">
      <c r="B20" s="1"/>
      <c r="D20" s="322"/>
      <c r="E20" s="43" t="s">
        <v>163</v>
      </c>
      <c r="F20" s="45"/>
      <c r="G20" s="43" t="s">
        <v>162</v>
      </c>
      <c r="H20" s="45"/>
      <c r="I20" s="43" t="s">
        <v>164</v>
      </c>
      <c r="J20" s="45"/>
      <c r="K20" s="328"/>
    </row>
    <row r="21">
      <c r="B21" s="505" t="s">
        <v>237</v>
      </c>
      <c r="C21" s="380"/>
      <c r="D21" s="381"/>
      <c r="E21" s="506" t="s">
        <v>238</v>
      </c>
      <c r="F21" s="506" t="s">
        <v>239</v>
      </c>
      <c r="G21" s="506" t="s">
        <v>238</v>
      </c>
      <c r="H21" s="506" t="s">
        <v>239</v>
      </c>
      <c r="I21" s="506" t="s">
        <v>238</v>
      </c>
      <c r="J21" s="506" t="s">
        <v>239</v>
      </c>
      <c r="K21" s="328"/>
    </row>
    <row r="22">
      <c r="B22" s="399" t="s">
        <v>240</v>
      </c>
      <c r="C22" s="346"/>
      <c r="D22" s="347"/>
      <c r="E22" s="361"/>
      <c r="F22" s="361"/>
      <c r="G22" s="361"/>
      <c r="H22" s="361"/>
      <c r="I22" s="361"/>
      <c r="J22" s="361"/>
      <c r="K22" s="322"/>
    </row>
    <row r="23">
      <c r="B23" s="345" t="s">
        <v>241</v>
      </c>
      <c r="C23" s="346"/>
      <c r="D23" s="347"/>
      <c r="E23" s="366" t="s">
        <v>247</v>
      </c>
      <c r="F23" s="367" t="s">
        <v>339</v>
      </c>
      <c r="G23" s="366" t="s">
        <v>341</v>
      </c>
      <c r="H23" s="388" t="s">
        <v>382</v>
      </c>
      <c r="I23" s="366" t="s">
        <v>383</v>
      </c>
      <c r="J23" s="388" t="s">
        <v>384</v>
      </c>
      <c r="K23" s="322"/>
    </row>
    <row r="24">
      <c r="B24" s="350" t="s">
        <v>394</v>
      </c>
      <c r="C24" s="346"/>
      <c r="D24" s="347"/>
      <c r="E24" s="507"/>
      <c r="F24" s="367" t="s">
        <v>340</v>
      </c>
      <c r="G24" s="507"/>
      <c r="H24" s="361"/>
      <c r="I24" s="507"/>
      <c r="J24" s="361"/>
      <c r="K24" s="322"/>
    </row>
    <row r="25">
      <c r="B25" s="345"/>
      <c r="C25" s="346"/>
      <c r="D25" s="347"/>
      <c r="E25" s="366"/>
      <c r="F25" s="367"/>
      <c r="G25" s="507"/>
      <c r="H25" s="388"/>
      <c r="I25" s="507"/>
      <c r="J25" s="388"/>
      <c r="K25" s="322"/>
    </row>
    <row r="26">
      <c r="B26" s="345" t="s">
        <v>244</v>
      </c>
      <c r="C26" s="346"/>
      <c r="D26" s="347"/>
      <c r="E26" s="366" t="s">
        <v>341</v>
      </c>
      <c r="F26" s="367" t="s">
        <v>342</v>
      </c>
      <c r="G26" s="366" t="s">
        <v>383</v>
      </c>
      <c r="H26" s="388" t="s">
        <v>382</v>
      </c>
      <c r="I26" s="366" t="s">
        <v>383</v>
      </c>
      <c r="J26" s="388" t="s">
        <v>384</v>
      </c>
      <c r="K26" s="322"/>
    </row>
    <row r="27">
      <c r="B27" s="350" t="s">
        <v>395</v>
      </c>
      <c r="C27" s="346"/>
      <c r="D27" s="347"/>
      <c r="E27" s="361"/>
      <c r="F27" s="367" t="s">
        <v>343</v>
      </c>
      <c r="G27" s="361"/>
      <c r="H27" s="361"/>
      <c r="I27" s="361"/>
      <c r="J27" s="361"/>
      <c r="K27" s="322"/>
    </row>
    <row r="28">
      <c r="B28" s="345"/>
      <c r="C28" s="346"/>
      <c r="D28" s="347"/>
      <c r="E28" s="388"/>
      <c r="F28" s="367"/>
      <c r="G28" s="361"/>
      <c r="H28" s="361"/>
      <c r="I28" s="507"/>
      <c r="J28" s="388"/>
      <c r="K28" s="322"/>
    </row>
    <row r="29">
      <c r="B29" s="345" t="s">
        <v>246</v>
      </c>
      <c r="C29" s="346"/>
      <c r="D29" s="347"/>
      <c r="E29" s="388" t="s">
        <v>247</v>
      </c>
      <c r="F29" s="367" t="s">
        <v>344</v>
      </c>
      <c r="G29" s="508" t="s">
        <v>385</v>
      </c>
      <c r="H29" s="509"/>
      <c r="I29" s="366" t="s">
        <v>386</v>
      </c>
      <c r="J29" s="388" t="s">
        <v>243</v>
      </c>
      <c r="K29" s="322"/>
    </row>
    <row r="30">
      <c r="B30" s="353" t="s">
        <v>396</v>
      </c>
      <c r="C30" s="346"/>
      <c r="D30" s="347"/>
      <c r="E30" s="361"/>
      <c r="F30" s="361"/>
      <c r="G30" s="361"/>
      <c r="H30" s="361"/>
      <c r="I30" s="510"/>
      <c r="J30" s="361"/>
      <c r="K30" s="322"/>
    </row>
    <row r="31">
      <c r="B31" s="354" t="s">
        <v>248</v>
      </c>
      <c r="C31" s="355"/>
      <c r="D31" s="356"/>
      <c r="E31" s="369"/>
      <c r="F31" s="369"/>
      <c r="G31" s="369"/>
      <c r="H31" s="369"/>
      <c r="I31" s="369"/>
      <c r="J31" s="369"/>
      <c r="K31" s="322"/>
    </row>
    <row r="32">
      <c r="B32" s="517" t="s">
        <v>249</v>
      </c>
      <c r="C32" s="518"/>
      <c r="D32" s="519"/>
      <c r="E32" s="520"/>
      <c r="F32" s="520"/>
      <c r="G32" s="520"/>
      <c r="H32" s="520"/>
      <c r="I32" s="520"/>
      <c r="J32" s="520"/>
      <c r="K32" s="322"/>
    </row>
    <row r="33">
      <c r="B33" s="517" t="s">
        <v>345</v>
      </c>
      <c r="C33" s="518"/>
      <c r="D33" s="519"/>
      <c r="E33" s="520"/>
      <c r="F33" s="520"/>
      <c r="G33" s="521"/>
      <c r="H33" s="520"/>
      <c r="I33" s="520"/>
      <c r="J33" s="520"/>
      <c r="K33" s="322"/>
    </row>
    <row r="34">
      <c r="B34" s="522" t="s">
        <v>346</v>
      </c>
      <c r="C34" s="518"/>
      <c r="D34" s="519"/>
      <c r="E34" s="520"/>
      <c r="F34" s="520"/>
      <c r="G34" s="523"/>
      <c r="H34" s="520"/>
      <c r="I34" s="520"/>
      <c r="J34" s="520"/>
      <c r="K34" s="322"/>
    </row>
    <row r="35">
      <c r="B35" s="524" t="s">
        <v>241</v>
      </c>
      <c r="C35" s="518"/>
      <c r="D35" s="519"/>
      <c r="E35" s="525" t="s">
        <v>245</v>
      </c>
      <c r="F35" s="525" t="s">
        <v>347</v>
      </c>
      <c r="G35" s="523"/>
      <c r="H35" s="525" t="s">
        <v>347</v>
      </c>
      <c r="I35" s="520"/>
      <c r="J35" s="525" t="s">
        <v>347</v>
      </c>
      <c r="K35" s="322"/>
    </row>
    <row r="36">
      <c r="B36" s="526" t="s">
        <v>394</v>
      </c>
      <c r="C36" s="518"/>
      <c r="D36" s="519"/>
      <c r="E36" s="520"/>
      <c r="F36" s="520"/>
      <c r="G36" s="523"/>
      <c r="H36" s="520"/>
      <c r="I36" s="520"/>
      <c r="J36" s="520"/>
      <c r="K36" s="322"/>
    </row>
    <row r="37">
      <c r="B37" s="524" t="s">
        <v>244</v>
      </c>
      <c r="C37" s="518"/>
      <c r="D37" s="519"/>
      <c r="E37" s="527" t="s">
        <v>251</v>
      </c>
      <c r="F37" s="525" t="s">
        <v>348</v>
      </c>
      <c r="G37" s="523" t="s">
        <v>251</v>
      </c>
      <c r="H37" s="525" t="s">
        <v>387</v>
      </c>
      <c r="I37" s="523" t="s">
        <v>251</v>
      </c>
      <c r="J37" s="528" t="s">
        <v>348</v>
      </c>
      <c r="K37" s="322"/>
    </row>
    <row r="38">
      <c r="B38" s="526" t="s">
        <v>395</v>
      </c>
      <c r="C38" s="518"/>
      <c r="D38" s="519"/>
      <c r="E38" s="520"/>
      <c r="F38" s="525"/>
      <c r="G38" s="523"/>
      <c r="H38" s="520"/>
      <c r="I38" s="520"/>
      <c r="J38" s="520"/>
      <c r="K38" s="322"/>
    </row>
    <row r="39" ht="23.25" customHeight="1">
      <c r="B39" s="524" t="s">
        <v>253</v>
      </c>
      <c r="C39" s="518"/>
      <c r="D39" s="519"/>
      <c r="E39" s="525" t="s">
        <v>245</v>
      </c>
      <c r="F39" s="525" t="s">
        <v>349</v>
      </c>
      <c r="G39" s="523"/>
      <c r="H39" s="525" t="s">
        <v>349</v>
      </c>
      <c r="I39" s="520"/>
      <c r="J39" s="525" t="s">
        <v>349</v>
      </c>
      <c r="K39" s="322"/>
    </row>
    <row r="40">
      <c r="B40" s="529" t="s">
        <v>396</v>
      </c>
      <c r="C40" s="518"/>
      <c r="D40" s="519"/>
      <c r="E40" s="520"/>
      <c r="F40" s="520"/>
      <c r="G40" s="523"/>
      <c r="H40" s="520"/>
      <c r="I40" s="520"/>
      <c r="J40" s="520"/>
      <c r="K40" s="322"/>
    </row>
    <row r="41" ht="3.0" customHeight="1">
      <c r="B41" s="345"/>
      <c r="C41" s="346"/>
      <c r="D41" s="347"/>
      <c r="E41" s="361"/>
      <c r="F41" s="361"/>
      <c r="G41" s="361"/>
      <c r="H41" s="361"/>
      <c r="I41" s="361"/>
      <c r="J41" s="361"/>
      <c r="K41" s="322"/>
    </row>
    <row r="42" ht="3.75" customHeight="1">
      <c r="B42" s="530"/>
      <c r="C42" s="531"/>
      <c r="D42" s="532"/>
      <c r="E42" s="532"/>
      <c r="F42" s="532"/>
      <c r="G42" s="533"/>
      <c r="H42" s="533"/>
      <c r="I42" s="533"/>
      <c r="J42" s="533"/>
      <c r="K42" s="322"/>
    </row>
    <row r="43">
      <c r="B43" s="345" t="s">
        <v>241</v>
      </c>
      <c r="C43" s="346"/>
      <c r="D43" s="347"/>
      <c r="E43" s="388" t="s">
        <v>247</v>
      </c>
      <c r="F43" s="388" t="s">
        <v>397</v>
      </c>
      <c r="G43" s="409" t="s">
        <v>247</v>
      </c>
      <c r="H43" s="534" t="s">
        <v>397</v>
      </c>
      <c r="I43" s="409" t="s">
        <v>247</v>
      </c>
      <c r="J43" s="513" t="s">
        <v>397</v>
      </c>
      <c r="K43" s="322"/>
    </row>
    <row r="44">
      <c r="B44" s="350" t="s">
        <v>394</v>
      </c>
      <c r="C44" s="346"/>
      <c r="D44" s="347"/>
      <c r="E44" s="361"/>
      <c r="F44" s="361"/>
      <c r="G44" s="470"/>
      <c r="H44" s="535"/>
      <c r="I44" s="361"/>
      <c r="J44" s="513"/>
      <c r="K44" s="322"/>
    </row>
    <row r="45">
      <c r="B45" s="345" t="s">
        <v>244</v>
      </c>
      <c r="C45" s="346"/>
      <c r="D45" s="347"/>
      <c r="E45" s="366" t="s">
        <v>350</v>
      </c>
      <c r="F45" s="534" t="s">
        <v>398</v>
      </c>
      <c r="G45" s="470" t="s">
        <v>251</v>
      </c>
      <c r="H45" s="534" t="s">
        <v>348</v>
      </c>
      <c r="I45" s="470" t="s">
        <v>388</v>
      </c>
      <c r="J45" s="514" t="s">
        <v>389</v>
      </c>
      <c r="K45" s="322"/>
    </row>
    <row r="46">
      <c r="B46" s="350" t="s">
        <v>395</v>
      </c>
      <c r="C46" s="346"/>
      <c r="D46" s="347"/>
      <c r="E46" s="361"/>
      <c r="F46" s="388" t="s">
        <v>399</v>
      </c>
      <c r="G46" s="470"/>
      <c r="H46" s="535"/>
      <c r="I46" s="361"/>
      <c r="J46" s="513" t="s">
        <v>348</v>
      </c>
      <c r="K46" s="322"/>
    </row>
    <row r="47">
      <c r="B47" s="345"/>
      <c r="C47" s="346"/>
      <c r="D47" s="347"/>
      <c r="E47" s="361"/>
      <c r="F47" s="361"/>
      <c r="G47" s="470"/>
      <c r="H47" s="535"/>
      <c r="I47" s="361"/>
      <c r="J47" s="347"/>
      <c r="K47" s="322"/>
    </row>
    <row r="48">
      <c r="B48" s="345" t="s">
        <v>253</v>
      </c>
      <c r="C48" s="346"/>
      <c r="D48" s="347"/>
      <c r="E48" s="388" t="s">
        <v>247</v>
      </c>
      <c r="F48" s="388" t="s">
        <v>400</v>
      </c>
      <c r="G48" s="470" t="s">
        <v>247</v>
      </c>
      <c r="H48" s="534" t="s">
        <v>400</v>
      </c>
      <c r="I48" s="470" t="s">
        <v>247</v>
      </c>
      <c r="J48" s="513" t="s">
        <v>400</v>
      </c>
      <c r="K48" s="322"/>
    </row>
    <row r="49">
      <c r="B49" s="368" t="s">
        <v>401</v>
      </c>
      <c r="C49" s="355"/>
      <c r="D49" s="356"/>
      <c r="E49" s="369"/>
      <c r="F49" s="369"/>
      <c r="G49" s="536"/>
      <c r="H49" s="515"/>
      <c r="I49" s="369"/>
      <c r="J49" s="356"/>
      <c r="K49" s="322"/>
    </row>
    <row r="50" ht="5.25" customHeight="1">
      <c r="D50" s="322"/>
      <c r="E50" s="322"/>
      <c r="F50" s="322"/>
      <c r="G50" s="322"/>
      <c r="H50" s="322"/>
      <c r="I50" s="322"/>
      <c r="J50" s="322"/>
      <c r="K50" s="322"/>
    </row>
    <row r="51">
      <c r="B51" s="370" t="s">
        <v>254</v>
      </c>
      <c r="D51" s="322"/>
      <c r="E51" s="322"/>
      <c r="F51" s="322"/>
      <c r="G51" s="322"/>
      <c r="H51" s="322"/>
      <c r="I51" s="322"/>
      <c r="J51" s="322"/>
      <c r="K51" s="322"/>
    </row>
    <row r="52">
      <c r="B52" s="370" t="s">
        <v>255</v>
      </c>
      <c r="D52" s="322"/>
      <c r="E52" s="322"/>
      <c r="F52" s="322"/>
      <c r="G52" s="322"/>
      <c r="H52" s="322"/>
      <c r="I52" s="322"/>
      <c r="J52" s="322"/>
      <c r="K52" s="322"/>
    </row>
    <row r="53">
      <c r="B53" s="371"/>
      <c r="D53" s="322"/>
      <c r="E53" s="322"/>
      <c r="F53" s="322"/>
      <c r="G53" s="322"/>
      <c r="H53" s="322"/>
      <c r="I53" s="322"/>
      <c r="J53" s="322"/>
      <c r="K53" s="322"/>
    </row>
    <row r="54">
      <c r="B54" s="370" t="s">
        <v>256</v>
      </c>
      <c r="D54" s="322"/>
      <c r="E54" s="322"/>
      <c r="F54" s="322"/>
      <c r="G54" s="322"/>
      <c r="H54" s="322"/>
      <c r="I54" s="322"/>
      <c r="J54" s="322"/>
      <c r="K54" s="322"/>
    </row>
    <row r="55">
      <c r="B55" s="371"/>
      <c r="D55" s="322"/>
      <c r="E55" s="322"/>
      <c r="F55" s="322"/>
      <c r="G55" s="322"/>
      <c r="H55" s="322"/>
      <c r="I55" s="322"/>
      <c r="J55" s="322"/>
      <c r="K55" s="322"/>
    </row>
    <row r="56">
      <c r="B56" s="370" t="s">
        <v>257</v>
      </c>
      <c r="D56" s="322"/>
      <c r="E56" s="322"/>
      <c r="F56" s="322"/>
      <c r="G56" s="322"/>
      <c r="H56" s="322"/>
      <c r="I56" s="322"/>
      <c r="J56" s="322"/>
      <c r="K56" s="322"/>
    </row>
    <row r="57">
      <c r="B57" s="370" t="s">
        <v>258</v>
      </c>
      <c r="D57" s="322"/>
      <c r="E57" s="322"/>
      <c r="F57" s="322"/>
      <c r="G57" s="322"/>
      <c r="H57" s="322"/>
      <c r="I57" s="322"/>
      <c r="J57" s="322"/>
      <c r="K57" s="322"/>
    </row>
    <row r="58">
      <c r="B58" s="370" t="s">
        <v>259</v>
      </c>
      <c r="D58" s="322"/>
      <c r="E58" s="322"/>
      <c r="F58" s="322"/>
      <c r="G58" s="322"/>
      <c r="H58" s="322"/>
      <c r="I58" s="322"/>
      <c r="J58" s="322"/>
      <c r="K58" s="322"/>
    </row>
    <row r="59">
      <c r="B59" s="371"/>
      <c r="D59" s="322"/>
      <c r="E59" s="322"/>
      <c r="F59" s="322"/>
      <c r="G59" s="322"/>
      <c r="H59" s="322"/>
      <c r="I59" s="322"/>
      <c r="J59" s="322"/>
      <c r="K59" s="322"/>
    </row>
    <row r="60">
      <c r="B60" s="370" t="s">
        <v>260</v>
      </c>
      <c r="D60" s="322"/>
      <c r="E60" s="322"/>
      <c r="F60" s="322"/>
      <c r="G60" s="322"/>
      <c r="H60" s="322"/>
      <c r="I60" s="322"/>
      <c r="J60" s="322"/>
      <c r="K60" s="322"/>
    </row>
    <row r="61">
      <c r="B61" s="1" t="s">
        <v>261</v>
      </c>
      <c r="D61" s="322"/>
      <c r="E61" s="322"/>
      <c r="F61" s="322"/>
      <c r="G61" s="322"/>
      <c r="H61" s="322"/>
      <c r="I61" s="322"/>
      <c r="J61" s="537" t="s">
        <v>402</v>
      </c>
      <c r="K61" s="322"/>
    </row>
  </sheetData>
  <mergeCells count="7">
    <mergeCell ref="A6:J6"/>
    <mergeCell ref="A7:J7"/>
    <mergeCell ref="A8:J8"/>
    <mergeCell ref="E20:F20"/>
    <mergeCell ref="G20:H20"/>
    <mergeCell ref="I20:J20"/>
    <mergeCell ref="G29:H29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5" width="14.43"/>
    <col customWidth="1" min="6" max="6" width="24.57"/>
    <col customWidth="1" min="7" max="9" width="14.43"/>
  </cols>
  <sheetData>
    <row r="1">
      <c r="B1" s="317"/>
      <c r="C1" s="317"/>
      <c r="D1" s="317"/>
      <c r="E1" s="317"/>
      <c r="F1" s="317"/>
      <c r="G1" s="317"/>
      <c r="H1" s="317"/>
      <c r="I1" s="317"/>
    </row>
    <row r="2">
      <c r="B2" s="317"/>
      <c r="C2" s="317"/>
      <c r="D2" s="317"/>
      <c r="E2" s="317"/>
      <c r="F2" s="317"/>
      <c r="G2" s="317"/>
      <c r="H2" s="317"/>
      <c r="I2" s="317"/>
    </row>
    <row r="3">
      <c r="B3" s="317"/>
      <c r="C3" s="317"/>
      <c r="D3" s="317"/>
      <c r="E3" s="317"/>
      <c r="F3" s="317"/>
      <c r="G3" s="317"/>
      <c r="H3" s="317"/>
      <c r="I3" s="317"/>
    </row>
    <row r="4">
      <c r="B4" s="317"/>
      <c r="C4" s="317"/>
      <c r="D4" s="317"/>
      <c r="E4" s="317"/>
      <c r="F4" s="317"/>
      <c r="G4" s="317"/>
      <c r="H4" s="317"/>
      <c r="I4" s="317"/>
    </row>
    <row r="5">
      <c r="B5" s="318"/>
      <c r="C5" s="318"/>
      <c r="D5" s="318"/>
      <c r="E5" s="318"/>
      <c r="F5" s="318"/>
      <c r="G5" s="318"/>
      <c r="H5" s="318"/>
      <c r="I5" s="318"/>
    </row>
    <row r="6">
      <c r="A6" s="54" t="s">
        <v>223</v>
      </c>
    </row>
    <row r="7">
      <c r="A7" s="318" t="s">
        <v>403</v>
      </c>
    </row>
    <row r="8">
      <c r="A8" s="318" t="s">
        <v>380</v>
      </c>
    </row>
    <row r="9">
      <c r="B9" s="320" t="s">
        <v>227</v>
      </c>
      <c r="C9" s="321" t="s">
        <v>61</v>
      </c>
      <c r="D9" s="322"/>
      <c r="E9" s="322"/>
      <c r="F9" s="322"/>
      <c r="G9" s="322"/>
      <c r="H9" s="322"/>
      <c r="I9" s="322"/>
    </row>
    <row r="10">
      <c r="B10" s="320" t="s">
        <v>338</v>
      </c>
      <c r="D10" s="69" t="s">
        <v>227</v>
      </c>
      <c r="E10" s="495" t="s">
        <v>61</v>
      </c>
      <c r="F10" s="496" t="s">
        <v>76</v>
      </c>
      <c r="H10" s="322"/>
      <c r="I10" s="322"/>
    </row>
    <row r="11">
      <c r="B11" s="1" t="s">
        <v>232</v>
      </c>
      <c r="D11" s="322"/>
      <c r="E11" s="330">
        <f>rounddown(SUM('SD-P ลำใย'!K12:K14),-3)</f>
        <v>36000</v>
      </c>
      <c r="F11" s="32">
        <f>E11</f>
        <v>36000</v>
      </c>
      <c r="G11" s="328" t="s">
        <v>233</v>
      </c>
      <c r="H11" s="322"/>
      <c r="I11" s="322"/>
    </row>
    <row r="12">
      <c r="B12" s="329" t="s">
        <v>391</v>
      </c>
      <c r="D12" s="322"/>
      <c r="E12" s="330"/>
      <c r="G12" s="322"/>
      <c r="H12" s="322"/>
      <c r="I12" s="322"/>
    </row>
    <row r="13">
      <c r="B13" s="1" t="s">
        <v>234</v>
      </c>
      <c r="D13" s="322"/>
      <c r="E13" s="327">
        <v>11000.0</v>
      </c>
      <c r="F13" s="32">
        <f>E13</f>
        <v>11000</v>
      </c>
      <c r="G13" s="328" t="s">
        <v>233</v>
      </c>
      <c r="H13" s="322"/>
      <c r="I13" s="322"/>
    </row>
    <row r="14">
      <c r="B14" s="329" t="s">
        <v>392</v>
      </c>
      <c r="D14" s="322"/>
      <c r="E14" s="330"/>
      <c r="G14" s="322"/>
      <c r="H14" s="322"/>
      <c r="I14" s="322"/>
    </row>
    <row r="15">
      <c r="B15" s="1" t="s">
        <v>235</v>
      </c>
      <c r="D15" s="322"/>
      <c r="E15" s="327">
        <v>16000.0</v>
      </c>
      <c r="F15" s="538">
        <v>35000.0</v>
      </c>
      <c r="G15" s="328" t="s">
        <v>233</v>
      </c>
      <c r="H15" s="322"/>
      <c r="I15" s="322"/>
    </row>
    <row r="16">
      <c r="B16" s="329" t="s">
        <v>393</v>
      </c>
      <c r="D16" s="332"/>
      <c r="E16" s="331"/>
      <c r="G16" s="322"/>
      <c r="H16" s="322"/>
      <c r="I16" s="322"/>
    </row>
    <row r="17">
      <c r="D17" s="332" t="s">
        <v>236</v>
      </c>
      <c r="E17" s="331">
        <f t="shared" ref="E17:F17" si="1">SUM(E11:E15)</f>
        <v>63000</v>
      </c>
      <c r="F17" s="331">
        <f t="shared" si="1"/>
        <v>82000</v>
      </c>
      <c r="G17" s="328" t="s">
        <v>233</v>
      </c>
      <c r="H17" s="322"/>
      <c r="I17" s="322"/>
    </row>
    <row r="18" ht="10.5" customHeight="1">
      <c r="D18" s="322"/>
      <c r="E18" s="322"/>
      <c r="F18" s="322"/>
      <c r="G18" s="322"/>
      <c r="H18" s="322"/>
      <c r="I18" s="322"/>
    </row>
    <row r="19">
      <c r="B19" s="1"/>
      <c r="D19" s="322"/>
      <c r="E19" s="43"/>
      <c r="F19" s="45"/>
      <c r="G19" s="322"/>
      <c r="H19" s="322"/>
      <c r="I19" s="322"/>
    </row>
    <row r="20">
      <c r="B20" s="505" t="s">
        <v>237</v>
      </c>
      <c r="C20" s="380"/>
      <c r="D20" s="381"/>
      <c r="E20" s="506" t="s">
        <v>238</v>
      </c>
      <c r="F20" s="506" t="s">
        <v>239</v>
      </c>
      <c r="G20" s="322"/>
      <c r="H20" s="322"/>
      <c r="I20" s="322"/>
    </row>
    <row r="21">
      <c r="B21" s="399" t="s">
        <v>240</v>
      </c>
      <c r="C21" s="346"/>
      <c r="D21" s="347"/>
      <c r="E21" s="539" t="s">
        <v>404</v>
      </c>
      <c r="F21" s="509"/>
      <c r="G21" s="322"/>
      <c r="H21" s="322"/>
      <c r="I21" s="322"/>
    </row>
    <row r="22">
      <c r="B22" s="345" t="s">
        <v>241</v>
      </c>
      <c r="C22" s="346"/>
      <c r="D22" s="347"/>
      <c r="E22" s="540"/>
      <c r="F22" s="509"/>
      <c r="G22" s="322"/>
      <c r="H22" s="322"/>
      <c r="I22" s="322"/>
    </row>
    <row r="23">
      <c r="B23" s="350" t="s">
        <v>394</v>
      </c>
      <c r="C23" s="346"/>
      <c r="D23" s="347"/>
      <c r="E23" s="540"/>
      <c r="F23" s="509"/>
      <c r="G23" s="322"/>
      <c r="H23" s="322"/>
      <c r="I23" s="322"/>
    </row>
    <row r="24">
      <c r="B24" s="345"/>
      <c r="C24" s="346"/>
      <c r="D24" s="347"/>
      <c r="E24" s="540"/>
      <c r="F24" s="509"/>
      <c r="G24" s="322"/>
      <c r="H24" s="322"/>
      <c r="I24" s="322"/>
    </row>
    <row r="25">
      <c r="B25" s="345" t="s">
        <v>244</v>
      </c>
      <c r="C25" s="346"/>
      <c r="D25" s="347"/>
      <c r="E25" s="540"/>
      <c r="F25" s="509"/>
      <c r="G25" s="322"/>
      <c r="H25" s="322"/>
      <c r="I25" s="322"/>
    </row>
    <row r="26">
      <c r="B26" s="350" t="s">
        <v>395</v>
      </c>
      <c r="C26" s="346"/>
      <c r="D26" s="347"/>
      <c r="E26" s="540"/>
      <c r="F26" s="509"/>
      <c r="G26" s="322"/>
      <c r="H26" s="322"/>
      <c r="I26" s="322"/>
    </row>
    <row r="27">
      <c r="B27" s="345"/>
      <c r="C27" s="346"/>
      <c r="D27" s="347"/>
      <c r="E27" s="540"/>
      <c r="F27" s="509"/>
      <c r="G27" s="322"/>
      <c r="H27" s="322"/>
      <c r="I27" s="322"/>
    </row>
    <row r="28">
      <c r="B28" s="345" t="s">
        <v>246</v>
      </c>
      <c r="C28" s="346"/>
      <c r="D28" s="347"/>
      <c r="E28" s="540"/>
      <c r="F28" s="509"/>
      <c r="G28" s="322"/>
      <c r="H28" s="322"/>
      <c r="I28" s="322"/>
    </row>
    <row r="29">
      <c r="B29" s="353" t="s">
        <v>396</v>
      </c>
      <c r="C29" s="346"/>
      <c r="D29" s="347"/>
      <c r="E29" s="540"/>
      <c r="F29" s="509"/>
      <c r="G29" s="322"/>
      <c r="H29" s="322"/>
      <c r="I29" s="322"/>
    </row>
    <row r="30">
      <c r="B30" s="354" t="s">
        <v>248</v>
      </c>
      <c r="C30" s="355"/>
      <c r="D30" s="356"/>
      <c r="E30" s="89"/>
      <c r="F30" s="203"/>
      <c r="G30" s="322"/>
      <c r="H30" s="322"/>
      <c r="I30" s="322"/>
    </row>
    <row r="31" ht="5.25" customHeight="1">
      <c r="B31" s="530"/>
      <c r="C31" s="531"/>
      <c r="D31" s="532"/>
      <c r="E31" s="532"/>
      <c r="F31" s="532"/>
      <c r="G31" s="322"/>
      <c r="H31" s="322"/>
      <c r="I31" s="322"/>
    </row>
    <row r="32" ht="20.25" customHeight="1">
      <c r="B32" s="345" t="s">
        <v>241</v>
      </c>
      <c r="C32" s="346"/>
      <c r="D32" s="347"/>
      <c r="E32" s="539" t="s">
        <v>405</v>
      </c>
      <c r="F32" s="509"/>
      <c r="G32" s="322"/>
      <c r="H32" s="322"/>
      <c r="I32" s="322"/>
    </row>
    <row r="33">
      <c r="B33" s="350" t="s">
        <v>394</v>
      </c>
      <c r="C33" s="346"/>
      <c r="D33" s="347"/>
      <c r="E33" s="540"/>
      <c r="F33" s="509"/>
      <c r="G33" s="322"/>
      <c r="H33" s="322"/>
      <c r="I33" s="322"/>
    </row>
    <row r="34">
      <c r="B34" s="345" t="s">
        <v>244</v>
      </c>
      <c r="C34" s="346"/>
      <c r="D34" s="347"/>
      <c r="E34" s="540"/>
      <c r="F34" s="509"/>
      <c r="G34" s="322"/>
      <c r="H34" s="322"/>
      <c r="I34" s="322"/>
    </row>
    <row r="35">
      <c r="B35" s="350" t="s">
        <v>395</v>
      </c>
      <c r="C35" s="346"/>
      <c r="D35" s="347"/>
      <c r="E35" s="540"/>
      <c r="F35" s="509"/>
      <c r="G35" s="322"/>
      <c r="H35" s="322"/>
      <c r="I35" s="322"/>
    </row>
    <row r="36">
      <c r="B36" s="345"/>
      <c r="C36" s="346"/>
      <c r="D36" s="347"/>
      <c r="E36" s="540"/>
      <c r="F36" s="509"/>
      <c r="G36" s="322"/>
      <c r="H36" s="322"/>
      <c r="I36" s="322"/>
    </row>
    <row r="37">
      <c r="B37" s="345"/>
      <c r="C37" s="346"/>
      <c r="D37" s="347"/>
      <c r="E37" s="540"/>
      <c r="F37" s="509"/>
      <c r="G37" s="322"/>
      <c r="H37" s="322"/>
      <c r="I37" s="322"/>
    </row>
    <row r="38">
      <c r="B38" s="345" t="s">
        <v>406</v>
      </c>
      <c r="C38" s="346"/>
      <c r="D38" s="347"/>
      <c r="E38" s="540"/>
      <c r="F38" s="509"/>
      <c r="G38" s="322"/>
      <c r="H38" s="322"/>
      <c r="I38" s="322"/>
    </row>
    <row r="39">
      <c r="B39" s="368" t="s">
        <v>401</v>
      </c>
      <c r="C39" s="355"/>
      <c r="D39" s="356"/>
      <c r="E39" s="89"/>
      <c r="F39" s="203"/>
      <c r="G39" s="322"/>
      <c r="H39" s="322"/>
      <c r="I39" s="322"/>
    </row>
    <row r="40" ht="5.25" customHeight="1">
      <c r="D40" s="322"/>
      <c r="E40" s="322"/>
      <c r="F40" s="322"/>
      <c r="G40" s="322"/>
      <c r="H40" s="322"/>
      <c r="I40" s="322"/>
    </row>
    <row r="41">
      <c r="B41" s="370" t="s">
        <v>254</v>
      </c>
      <c r="D41" s="322"/>
      <c r="E41" s="322"/>
      <c r="F41" s="322"/>
      <c r="G41" s="322"/>
      <c r="H41" s="322"/>
      <c r="I41" s="322"/>
    </row>
    <row r="42">
      <c r="B42" s="370" t="s">
        <v>255</v>
      </c>
      <c r="D42" s="322"/>
      <c r="E42" s="322"/>
      <c r="F42" s="322"/>
      <c r="G42" s="322"/>
      <c r="H42" s="322"/>
      <c r="I42" s="322"/>
    </row>
    <row r="43">
      <c r="B43" s="371"/>
      <c r="D43" s="322"/>
      <c r="E43" s="322"/>
      <c r="F43" s="322"/>
      <c r="G43" s="322"/>
      <c r="H43" s="322"/>
      <c r="I43" s="322"/>
    </row>
    <row r="44">
      <c r="B44" s="370" t="s">
        <v>256</v>
      </c>
      <c r="D44" s="322"/>
      <c r="E44" s="322"/>
      <c r="F44" s="322"/>
      <c r="G44" s="322"/>
      <c r="H44" s="322"/>
      <c r="I44" s="322"/>
    </row>
    <row r="45">
      <c r="B45" s="371"/>
      <c r="D45" s="322"/>
      <c r="E45" s="322"/>
      <c r="F45" s="322"/>
      <c r="G45" s="322"/>
      <c r="H45" s="322"/>
      <c r="I45" s="322"/>
    </row>
    <row r="46">
      <c r="B46" s="370" t="s">
        <v>257</v>
      </c>
      <c r="D46" s="322"/>
      <c r="E46" s="322"/>
      <c r="F46" s="322"/>
      <c r="G46" s="322"/>
      <c r="H46" s="322"/>
      <c r="I46" s="322"/>
    </row>
    <row r="47">
      <c r="B47" s="370" t="s">
        <v>258</v>
      </c>
      <c r="D47" s="322"/>
      <c r="E47" s="322"/>
      <c r="F47" s="322"/>
      <c r="G47" s="322"/>
      <c r="H47" s="322"/>
      <c r="I47" s="322"/>
    </row>
    <row r="48">
      <c r="B48" s="370" t="s">
        <v>259</v>
      </c>
      <c r="D48" s="322"/>
      <c r="E48" s="322"/>
      <c r="F48" s="322"/>
      <c r="G48" s="322"/>
      <c r="H48" s="322"/>
      <c r="I48" s="322"/>
    </row>
    <row r="49">
      <c r="B49" s="371"/>
      <c r="D49" s="322"/>
      <c r="E49" s="322"/>
      <c r="F49" s="322"/>
      <c r="G49" s="322"/>
      <c r="H49" s="322"/>
      <c r="I49" s="322"/>
    </row>
    <row r="50">
      <c r="B50" s="370" t="s">
        <v>260</v>
      </c>
      <c r="D50" s="322"/>
      <c r="E50" s="322"/>
      <c r="F50" s="322"/>
      <c r="G50" s="322"/>
      <c r="H50" s="322"/>
      <c r="I50" s="322"/>
    </row>
    <row r="51">
      <c r="B51" s="1" t="s">
        <v>261</v>
      </c>
      <c r="D51" s="322"/>
      <c r="E51" s="322"/>
      <c r="F51" s="322"/>
      <c r="G51" s="322"/>
      <c r="H51" s="322"/>
      <c r="I51" s="322"/>
    </row>
  </sheetData>
  <mergeCells count="6">
    <mergeCell ref="A6:I6"/>
    <mergeCell ref="A7:I7"/>
    <mergeCell ref="A8:I8"/>
    <mergeCell ref="E19:F19"/>
    <mergeCell ref="E21:F30"/>
    <mergeCell ref="E32:F39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6" width="20.14"/>
    <col customWidth="1" min="7" max="9" width="14.43"/>
  </cols>
  <sheetData>
    <row r="1">
      <c r="B1" s="317"/>
      <c r="C1" s="317"/>
      <c r="D1" s="317"/>
      <c r="E1" s="317"/>
      <c r="F1" s="317"/>
      <c r="G1" s="317"/>
      <c r="H1" s="317"/>
      <c r="I1" s="317"/>
    </row>
    <row r="2">
      <c r="B2" s="317"/>
      <c r="C2" s="317"/>
      <c r="D2" s="317"/>
      <c r="E2" s="317"/>
      <c r="F2" s="317"/>
      <c r="G2" s="317"/>
      <c r="H2" s="317"/>
      <c r="I2" s="317"/>
    </row>
    <row r="3">
      <c r="B3" s="317"/>
      <c r="C3" s="317"/>
      <c r="D3" s="317"/>
      <c r="E3" s="317"/>
      <c r="F3" s="317"/>
      <c r="G3" s="317"/>
      <c r="H3" s="317"/>
      <c r="I3" s="317"/>
    </row>
    <row r="4">
      <c r="B4" s="317"/>
      <c r="C4" s="317"/>
      <c r="D4" s="317"/>
      <c r="E4" s="317"/>
      <c r="F4" s="317"/>
      <c r="G4" s="317"/>
      <c r="H4" s="317"/>
      <c r="I4" s="317"/>
    </row>
    <row r="5">
      <c r="B5" s="318"/>
      <c r="C5" s="318"/>
      <c r="D5" s="318"/>
      <c r="E5" s="318"/>
      <c r="F5" s="318"/>
      <c r="G5" s="318"/>
      <c r="H5" s="318"/>
      <c r="I5" s="318"/>
    </row>
    <row r="6">
      <c r="A6" s="54" t="s">
        <v>223</v>
      </c>
    </row>
    <row r="7">
      <c r="A7" s="318" t="s">
        <v>407</v>
      </c>
    </row>
    <row r="8">
      <c r="A8" s="318" t="s">
        <v>380</v>
      </c>
    </row>
    <row r="9">
      <c r="B9" s="320"/>
      <c r="D9" s="322"/>
      <c r="E9" s="326"/>
      <c r="F9" s="322"/>
      <c r="G9" s="322"/>
      <c r="H9" s="322"/>
      <c r="I9" s="322"/>
    </row>
    <row r="10">
      <c r="B10" s="69" t="s">
        <v>227</v>
      </c>
      <c r="E10" s="495" t="s">
        <v>61</v>
      </c>
      <c r="F10" s="496" t="s">
        <v>76</v>
      </c>
      <c r="G10" s="322"/>
      <c r="H10" s="322"/>
      <c r="I10" s="322"/>
    </row>
    <row r="11">
      <c r="B11" s="320" t="s">
        <v>338</v>
      </c>
      <c r="D11" s="322"/>
      <c r="E11" s="322"/>
      <c r="F11" s="322"/>
      <c r="G11" s="322"/>
      <c r="H11" s="322"/>
      <c r="I11" s="322"/>
    </row>
    <row r="12">
      <c r="B12" s="1" t="s">
        <v>232</v>
      </c>
      <c r="D12" s="322"/>
      <c r="E12" s="327">
        <v>39000.0</v>
      </c>
      <c r="F12" s="327">
        <f>E12</f>
        <v>39000</v>
      </c>
      <c r="G12" s="319" t="s">
        <v>233</v>
      </c>
      <c r="H12" s="322"/>
      <c r="I12" s="322"/>
    </row>
    <row r="13">
      <c r="B13" s="329" t="s">
        <v>391</v>
      </c>
      <c r="D13" s="322"/>
      <c r="E13" s="330"/>
      <c r="F13" s="327"/>
      <c r="G13" s="541"/>
      <c r="H13" s="322"/>
      <c r="I13" s="322"/>
    </row>
    <row r="14">
      <c r="B14" s="1" t="s">
        <v>234</v>
      </c>
      <c r="D14" s="322"/>
      <c r="E14" s="327">
        <v>11000.0</v>
      </c>
      <c r="F14" s="327">
        <v>11000.0</v>
      </c>
      <c r="G14" s="319" t="s">
        <v>233</v>
      </c>
      <c r="H14" s="322"/>
      <c r="I14" s="322"/>
    </row>
    <row r="15">
      <c r="B15" s="329" t="s">
        <v>392</v>
      </c>
      <c r="D15" s="322"/>
      <c r="E15" s="330"/>
      <c r="G15" s="541"/>
      <c r="H15" s="322"/>
      <c r="I15" s="322"/>
    </row>
    <row r="16">
      <c r="B16" s="1" t="s">
        <v>235</v>
      </c>
      <c r="D16" s="322"/>
      <c r="E16" s="327">
        <v>16000.0</v>
      </c>
      <c r="F16" s="327">
        <v>35000.0</v>
      </c>
      <c r="G16" s="319" t="s">
        <v>233</v>
      </c>
      <c r="H16" s="322"/>
      <c r="I16" s="322"/>
    </row>
    <row r="17">
      <c r="B17" s="329" t="s">
        <v>393</v>
      </c>
      <c r="D17" s="332"/>
      <c r="E17" s="331"/>
      <c r="G17" s="541"/>
      <c r="H17" s="322"/>
      <c r="I17" s="322"/>
    </row>
    <row r="18">
      <c r="D18" s="332" t="s">
        <v>236</v>
      </c>
      <c r="E18" s="331">
        <f t="shared" ref="E18:F18" si="1">SUM(E12:E16)</f>
        <v>66000</v>
      </c>
      <c r="F18" s="331">
        <f t="shared" si="1"/>
        <v>85000</v>
      </c>
      <c r="G18" s="319" t="s">
        <v>233</v>
      </c>
      <c r="H18" s="322"/>
      <c r="I18" s="322"/>
    </row>
    <row r="19" ht="10.5" customHeight="1">
      <c r="D19" s="322"/>
      <c r="E19" s="322"/>
      <c r="F19" s="322"/>
      <c r="G19" s="322"/>
      <c r="H19" s="322"/>
      <c r="I19" s="322"/>
    </row>
    <row r="20">
      <c r="B20" s="1"/>
      <c r="D20" s="322"/>
      <c r="E20" s="43"/>
      <c r="F20" s="45"/>
      <c r="G20" s="322"/>
      <c r="H20" s="322"/>
      <c r="I20" s="322"/>
    </row>
    <row r="21">
      <c r="A21" s="334"/>
      <c r="B21" s="497" t="s">
        <v>237</v>
      </c>
      <c r="C21" s="498"/>
      <c r="D21" s="499"/>
      <c r="E21" s="500" t="s">
        <v>238</v>
      </c>
      <c r="F21" s="501" t="s">
        <v>239</v>
      </c>
      <c r="G21" s="542"/>
      <c r="H21" s="542"/>
      <c r="I21" s="542"/>
    </row>
    <row r="22">
      <c r="B22" s="399" t="s">
        <v>240</v>
      </c>
      <c r="C22" s="346"/>
      <c r="D22" s="347"/>
      <c r="E22" s="539" t="s">
        <v>404</v>
      </c>
      <c r="F22" s="509"/>
      <c r="G22" s="322"/>
      <c r="H22" s="322"/>
      <c r="I22" s="322"/>
    </row>
    <row r="23">
      <c r="B23" s="345" t="s">
        <v>241</v>
      </c>
      <c r="C23" s="346"/>
      <c r="D23" s="347"/>
      <c r="E23" s="540"/>
      <c r="F23" s="509"/>
      <c r="G23" s="322"/>
      <c r="H23" s="322"/>
      <c r="I23" s="322"/>
    </row>
    <row r="24">
      <c r="B24" s="350" t="s">
        <v>394</v>
      </c>
      <c r="C24" s="346"/>
      <c r="D24" s="347"/>
      <c r="E24" s="540"/>
      <c r="F24" s="509"/>
      <c r="G24" s="322"/>
      <c r="H24" s="322"/>
      <c r="I24" s="322"/>
    </row>
    <row r="25">
      <c r="B25" s="345"/>
      <c r="C25" s="346"/>
      <c r="D25" s="347"/>
      <c r="E25" s="540"/>
      <c r="F25" s="509"/>
      <c r="G25" s="322"/>
      <c r="H25" s="322"/>
      <c r="I25" s="322"/>
    </row>
    <row r="26">
      <c r="B26" s="345" t="s">
        <v>244</v>
      </c>
      <c r="C26" s="346"/>
      <c r="D26" s="347"/>
      <c r="E26" s="540"/>
      <c r="F26" s="509"/>
      <c r="G26" s="322"/>
      <c r="H26" s="322"/>
      <c r="I26" s="322"/>
    </row>
    <row r="27">
      <c r="B27" s="350" t="s">
        <v>395</v>
      </c>
      <c r="C27" s="346"/>
      <c r="D27" s="347"/>
      <c r="E27" s="540"/>
      <c r="F27" s="509"/>
      <c r="G27" s="322"/>
      <c r="H27" s="322"/>
      <c r="I27" s="322"/>
    </row>
    <row r="28">
      <c r="B28" s="345"/>
      <c r="C28" s="346"/>
      <c r="D28" s="347"/>
      <c r="E28" s="540"/>
      <c r="F28" s="509"/>
      <c r="G28" s="322"/>
      <c r="H28" s="322"/>
      <c r="I28" s="322"/>
    </row>
    <row r="29">
      <c r="B29" s="345" t="s">
        <v>246</v>
      </c>
      <c r="C29" s="346"/>
      <c r="D29" s="347"/>
      <c r="E29" s="540"/>
      <c r="F29" s="509"/>
      <c r="G29" s="322"/>
      <c r="H29" s="322"/>
      <c r="I29" s="322"/>
    </row>
    <row r="30">
      <c r="B30" s="353" t="s">
        <v>396</v>
      </c>
      <c r="C30" s="346"/>
      <c r="D30" s="347"/>
      <c r="E30" s="540"/>
      <c r="F30" s="509"/>
      <c r="G30" s="322"/>
      <c r="H30" s="322"/>
      <c r="I30" s="322"/>
    </row>
    <row r="31">
      <c r="B31" s="354" t="s">
        <v>248</v>
      </c>
      <c r="C31" s="355"/>
      <c r="D31" s="356"/>
      <c r="E31" s="89"/>
      <c r="F31" s="203"/>
      <c r="G31" s="322"/>
      <c r="H31" s="322"/>
      <c r="I31" s="322"/>
    </row>
    <row r="32" ht="5.25" customHeight="1">
      <c r="B32" s="530"/>
      <c r="C32" s="531"/>
      <c r="D32" s="532"/>
      <c r="E32" s="532"/>
      <c r="F32" s="532"/>
      <c r="G32" s="322"/>
      <c r="H32" s="322"/>
      <c r="I32" s="322"/>
    </row>
    <row r="33" ht="20.25" customHeight="1">
      <c r="B33" s="345" t="s">
        <v>241</v>
      </c>
      <c r="C33" s="346"/>
      <c r="D33" s="347"/>
      <c r="E33" s="539" t="s">
        <v>405</v>
      </c>
      <c r="F33" s="509"/>
      <c r="G33" s="322"/>
      <c r="H33" s="322"/>
      <c r="I33" s="322"/>
    </row>
    <row r="34">
      <c r="B34" s="350" t="s">
        <v>394</v>
      </c>
      <c r="C34" s="346"/>
      <c r="D34" s="347"/>
      <c r="E34" s="540"/>
      <c r="F34" s="509"/>
      <c r="G34" s="322"/>
      <c r="H34" s="322"/>
      <c r="I34" s="322"/>
    </row>
    <row r="35">
      <c r="B35" s="345" t="s">
        <v>244</v>
      </c>
      <c r="C35" s="346"/>
      <c r="D35" s="347"/>
      <c r="E35" s="540"/>
      <c r="F35" s="509"/>
      <c r="G35" s="322"/>
      <c r="H35" s="322"/>
      <c r="I35" s="322"/>
    </row>
    <row r="36">
      <c r="B36" s="350" t="s">
        <v>395</v>
      </c>
      <c r="C36" s="346"/>
      <c r="D36" s="347"/>
      <c r="E36" s="540"/>
      <c r="F36" s="509"/>
      <c r="G36" s="322"/>
      <c r="H36" s="322"/>
      <c r="I36" s="322"/>
    </row>
    <row r="37">
      <c r="B37" s="345"/>
      <c r="C37" s="346"/>
      <c r="D37" s="347"/>
      <c r="E37" s="540"/>
      <c r="F37" s="509"/>
      <c r="G37" s="322"/>
      <c r="H37" s="322"/>
      <c r="I37" s="322"/>
    </row>
    <row r="38">
      <c r="B38" s="345"/>
      <c r="C38" s="346"/>
      <c r="D38" s="347"/>
      <c r="E38" s="540"/>
      <c r="F38" s="509"/>
      <c r="G38" s="322"/>
      <c r="H38" s="322"/>
      <c r="I38" s="322"/>
    </row>
    <row r="39">
      <c r="B39" s="345" t="s">
        <v>406</v>
      </c>
      <c r="C39" s="346"/>
      <c r="D39" s="347"/>
      <c r="E39" s="540"/>
      <c r="F39" s="509"/>
      <c r="G39" s="322"/>
      <c r="H39" s="322"/>
      <c r="I39" s="322"/>
    </row>
    <row r="40">
      <c r="B40" s="368" t="s">
        <v>401</v>
      </c>
      <c r="C40" s="355"/>
      <c r="D40" s="356"/>
      <c r="E40" s="89"/>
      <c r="F40" s="203"/>
      <c r="G40" s="322"/>
      <c r="H40" s="322"/>
      <c r="I40" s="322"/>
    </row>
    <row r="41" ht="5.25" customHeight="1">
      <c r="D41" s="322"/>
      <c r="E41" s="322"/>
      <c r="F41" s="322"/>
      <c r="G41" s="322"/>
      <c r="H41" s="322"/>
      <c r="I41" s="322"/>
    </row>
    <row r="42">
      <c r="B42" s="370" t="s">
        <v>254</v>
      </c>
      <c r="D42" s="322"/>
      <c r="E42" s="322"/>
      <c r="F42" s="322"/>
      <c r="G42" s="322"/>
      <c r="H42" s="322"/>
      <c r="I42" s="322"/>
    </row>
    <row r="43">
      <c r="B43" s="370" t="s">
        <v>255</v>
      </c>
      <c r="D43" s="322"/>
      <c r="E43" s="322"/>
      <c r="F43" s="322"/>
      <c r="G43" s="322"/>
      <c r="H43" s="322"/>
      <c r="I43" s="322"/>
    </row>
    <row r="44">
      <c r="B44" s="371"/>
      <c r="D44" s="322"/>
      <c r="E44" s="322"/>
      <c r="F44" s="322"/>
      <c r="G44" s="322"/>
      <c r="H44" s="322"/>
      <c r="I44" s="322"/>
    </row>
    <row r="45">
      <c r="B45" s="370" t="s">
        <v>256</v>
      </c>
      <c r="D45" s="322"/>
      <c r="E45" s="322"/>
      <c r="F45" s="322"/>
      <c r="G45" s="322"/>
      <c r="H45" s="322"/>
      <c r="I45" s="322"/>
    </row>
    <row r="46">
      <c r="B46" s="371"/>
      <c r="D46" s="322"/>
      <c r="E46" s="322"/>
      <c r="F46" s="322"/>
      <c r="G46" s="322"/>
      <c r="H46" s="322"/>
      <c r="I46" s="322"/>
    </row>
    <row r="47">
      <c r="B47" s="370" t="s">
        <v>257</v>
      </c>
      <c r="D47" s="322"/>
      <c r="E47" s="322"/>
      <c r="F47" s="322"/>
      <c r="G47" s="322"/>
      <c r="H47" s="322"/>
      <c r="I47" s="322"/>
    </row>
    <row r="48">
      <c r="B48" s="370" t="s">
        <v>258</v>
      </c>
      <c r="D48" s="322"/>
      <c r="E48" s="322"/>
      <c r="F48" s="322"/>
      <c r="G48" s="322"/>
      <c r="H48" s="322"/>
      <c r="I48" s="322"/>
    </row>
    <row r="49">
      <c r="B49" s="370" t="s">
        <v>259</v>
      </c>
      <c r="D49" s="322"/>
      <c r="E49" s="322"/>
      <c r="F49" s="322"/>
      <c r="G49" s="322"/>
      <c r="H49" s="322"/>
      <c r="I49" s="322"/>
    </row>
    <row r="50">
      <c r="B50" s="371"/>
      <c r="D50" s="322"/>
      <c r="E50" s="322"/>
      <c r="F50" s="322"/>
      <c r="G50" s="322"/>
      <c r="H50" s="322"/>
      <c r="I50" s="322"/>
    </row>
    <row r="51">
      <c r="B51" s="370" t="s">
        <v>260</v>
      </c>
      <c r="D51" s="322"/>
      <c r="E51" s="322"/>
      <c r="F51" s="322"/>
      <c r="G51" s="322"/>
      <c r="H51" s="322"/>
      <c r="I51" s="322"/>
    </row>
    <row r="52">
      <c r="B52" s="1" t="s">
        <v>261</v>
      </c>
      <c r="D52" s="322"/>
      <c r="E52" s="322"/>
      <c r="F52" s="322"/>
      <c r="G52" s="322"/>
      <c r="H52" s="322"/>
      <c r="I52" s="322"/>
    </row>
  </sheetData>
  <mergeCells count="7">
    <mergeCell ref="A6:I6"/>
    <mergeCell ref="A7:I7"/>
    <mergeCell ref="A8:I8"/>
    <mergeCell ref="B10:D10"/>
    <mergeCell ref="E20:F20"/>
    <mergeCell ref="E22:F31"/>
    <mergeCell ref="E33:F40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6" width="20.14"/>
    <col customWidth="1" min="7" max="9" width="14.43"/>
  </cols>
  <sheetData>
    <row r="1">
      <c r="B1" s="317"/>
      <c r="C1" s="317"/>
      <c r="D1" s="317"/>
      <c r="E1" s="317"/>
      <c r="F1" s="317"/>
      <c r="G1" s="317"/>
      <c r="H1" s="317"/>
      <c r="I1" s="317"/>
    </row>
    <row r="2">
      <c r="B2" s="317"/>
      <c r="C2" s="317"/>
      <c r="D2" s="317"/>
      <c r="E2" s="317"/>
      <c r="F2" s="317"/>
      <c r="G2" s="317"/>
      <c r="H2" s="317"/>
      <c r="I2" s="317"/>
    </row>
    <row r="3">
      <c r="B3" s="317"/>
      <c r="C3" s="317"/>
      <c r="D3" s="317"/>
      <c r="E3" s="317"/>
      <c r="F3" s="317"/>
      <c r="G3" s="317"/>
      <c r="H3" s="317"/>
      <c r="I3" s="317"/>
    </row>
    <row r="4">
      <c r="B4" s="317"/>
      <c r="C4" s="317"/>
      <c r="D4" s="317"/>
      <c r="E4" s="317"/>
      <c r="F4" s="317"/>
      <c r="G4" s="317"/>
      <c r="H4" s="317"/>
      <c r="I4" s="317"/>
    </row>
    <row r="5">
      <c r="B5" s="318"/>
      <c r="C5" s="318"/>
      <c r="D5" s="318"/>
      <c r="E5" s="318"/>
      <c r="F5" s="318"/>
      <c r="G5" s="318"/>
      <c r="H5" s="318"/>
      <c r="I5" s="318"/>
    </row>
    <row r="6">
      <c r="A6" s="54" t="s">
        <v>223</v>
      </c>
    </row>
    <row r="7">
      <c r="A7" s="318" t="s">
        <v>408</v>
      </c>
    </row>
    <row r="8">
      <c r="A8" s="318" t="s">
        <v>409</v>
      </c>
    </row>
    <row r="9">
      <c r="B9" s="320"/>
      <c r="D9" s="322"/>
      <c r="E9" s="326"/>
      <c r="F9" s="322"/>
      <c r="G9" s="322"/>
      <c r="H9" s="322"/>
      <c r="I9" s="322"/>
    </row>
    <row r="10">
      <c r="B10" s="69" t="s">
        <v>227</v>
      </c>
      <c r="E10" s="495" t="s">
        <v>61</v>
      </c>
      <c r="F10" s="496" t="s">
        <v>76</v>
      </c>
      <c r="G10" s="322"/>
      <c r="H10" s="322"/>
      <c r="I10" s="322"/>
    </row>
    <row r="11">
      <c r="B11" s="320" t="s">
        <v>338</v>
      </c>
      <c r="D11" s="322"/>
      <c r="E11" s="322"/>
      <c r="F11" s="322"/>
      <c r="G11" s="322"/>
      <c r="H11" s="322"/>
      <c r="I11" s="322"/>
    </row>
    <row r="12">
      <c r="B12" s="1" t="s">
        <v>410</v>
      </c>
      <c r="D12" s="322"/>
      <c r="E12" s="327">
        <v>35000.0</v>
      </c>
      <c r="F12" s="327">
        <f>E12</f>
        <v>35000</v>
      </c>
      <c r="G12" s="319" t="s">
        <v>233</v>
      </c>
      <c r="H12" s="322"/>
      <c r="I12" s="322"/>
    </row>
    <row r="13">
      <c r="B13" s="329" t="s">
        <v>391</v>
      </c>
      <c r="D13" s="322"/>
      <c r="E13" s="330"/>
      <c r="F13" s="327"/>
      <c r="G13" s="541"/>
      <c r="H13" s="322"/>
      <c r="I13" s="322"/>
    </row>
    <row r="14">
      <c r="B14" s="1" t="s">
        <v>234</v>
      </c>
      <c r="D14" s="322"/>
      <c r="E14" s="327">
        <v>11000.0</v>
      </c>
      <c r="F14" s="327">
        <v>11000.0</v>
      </c>
      <c r="G14" s="319" t="s">
        <v>233</v>
      </c>
      <c r="H14" s="322"/>
      <c r="I14" s="322"/>
    </row>
    <row r="15">
      <c r="B15" s="329" t="s">
        <v>392</v>
      </c>
      <c r="D15" s="322"/>
      <c r="E15" s="330"/>
      <c r="G15" s="541"/>
      <c r="H15" s="322"/>
      <c r="I15" s="322"/>
    </row>
    <row r="16">
      <c r="B16" s="1" t="s">
        <v>235</v>
      </c>
      <c r="D16" s="322"/>
      <c r="E16" s="327">
        <v>16000.0</v>
      </c>
      <c r="F16" s="327">
        <v>35000.0</v>
      </c>
      <c r="G16" s="319" t="s">
        <v>233</v>
      </c>
      <c r="H16" s="322"/>
      <c r="I16" s="322"/>
    </row>
    <row r="17">
      <c r="B17" s="329" t="s">
        <v>393</v>
      </c>
      <c r="D17" s="332"/>
      <c r="E17" s="331"/>
      <c r="G17" s="541"/>
      <c r="H17" s="322"/>
      <c r="I17" s="322"/>
    </row>
    <row r="18">
      <c r="D18" s="332" t="s">
        <v>236</v>
      </c>
      <c r="E18" s="331">
        <f t="shared" ref="E18:F18" si="1">SUM(E12:E16)</f>
        <v>62000</v>
      </c>
      <c r="F18" s="331">
        <f t="shared" si="1"/>
        <v>81000</v>
      </c>
      <c r="G18" s="319" t="s">
        <v>233</v>
      </c>
      <c r="H18" s="322"/>
      <c r="I18" s="322"/>
    </row>
    <row r="19" ht="10.5" customHeight="1">
      <c r="D19" s="322"/>
      <c r="E19" s="322"/>
      <c r="F19" s="322"/>
      <c r="G19" s="322"/>
      <c r="H19" s="322"/>
      <c r="I19" s="322"/>
    </row>
    <row r="20">
      <c r="B20" s="1"/>
      <c r="D20" s="322"/>
      <c r="E20" s="43"/>
      <c r="F20" s="45"/>
      <c r="G20" s="322"/>
      <c r="H20" s="322"/>
      <c r="I20" s="322"/>
    </row>
    <row r="21">
      <c r="A21" s="334"/>
      <c r="B21" s="497" t="s">
        <v>237</v>
      </c>
      <c r="C21" s="498"/>
      <c r="D21" s="499"/>
      <c r="E21" s="500" t="s">
        <v>238</v>
      </c>
      <c r="F21" s="501" t="s">
        <v>239</v>
      </c>
      <c r="G21" s="542"/>
      <c r="H21" s="542"/>
      <c r="I21" s="542"/>
    </row>
    <row r="22">
      <c r="B22" s="399" t="s">
        <v>240</v>
      </c>
      <c r="C22" s="346"/>
      <c r="D22" s="347"/>
      <c r="E22" s="539" t="s">
        <v>404</v>
      </c>
      <c r="F22" s="509"/>
      <c r="G22" s="322"/>
      <c r="H22" s="322"/>
      <c r="I22" s="322"/>
    </row>
    <row r="23">
      <c r="B23" s="345" t="s">
        <v>241</v>
      </c>
      <c r="C23" s="346"/>
      <c r="D23" s="347"/>
      <c r="E23" s="540"/>
      <c r="F23" s="509"/>
      <c r="G23" s="322"/>
      <c r="H23" s="322"/>
      <c r="I23" s="322"/>
    </row>
    <row r="24">
      <c r="B24" s="350" t="s">
        <v>394</v>
      </c>
      <c r="C24" s="346"/>
      <c r="D24" s="347"/>
      <c r="E24" s="540"/>
      <c r="F24" s="509"/>
      <c r="G24" s="322"/>
      <c r="H24" s="322"/>
      <c r="I24" s="322"/>
    </row>
    <row r="25">
      <c r="B25" s="345"/>
      <c r="C25" s="346"/>
      <c r="D25" s="347"/>
      <c r="E25" s="540"/>
      <c r="F25" s="509"/>
      <c r="G25" s="322"/>
      <c r="H25" s="322"/>
      <c r="I25" s="322"/>
    </row>
    <row r="26">
      <c r="B26" s="345" t="s">
        <v>244</v>
      </c>
      <c r="C26" s="346"/>
      <c r="D26" s="347"/>
      <c r="E26" s="540"/>
      <c r="F26" s="509"/>
      <c r="G26" s="322"/>
      <c r="H26" s="322"/>
      <c r="I26" s="322"/>
    </row>
    <row r="27">
      <c r="B27" s="350" t="s">
        <v>395</v>
      </c>
      <c r="C27" s="346"/>
      <c r="D27" s="347"/>
      <c r="E27" s="540"/>
      <c r="F27" s="509"/>
      <c r="G27" s="322"/>
      <c r="H27" s="322"/>
      <c r="I27" s="322"/>
    </row>
    <row r="28">
      <c r="B28" s="345"/>
      <c r="C28" s="346"/>
      <c r="D28" s="347"/>
      <c r="E28" s="540"/>
      <c r="F28" s="509"/>
      <c r="G28" s="322"/>
      <c r="H28" s="322"/>
      <c r="I28" s="322"/>
    </row>
    <row r="29">
      <c r="B29" s="345" t="s">
        <v>246</v>
      </c>
      <c r="C29" s="346"/>
      <c r="D29" s="347"/>
      <c r="E29" s="540"/>
      <c r="F29" s="509"/>
      <c r="G29" s="322"/>
      <c r="H29" s="322"/>
      <c r="I29" s="322"/>
    </row>
    <row r="30">
      <c r="B30" s="353" t="s">
        <v>396</v>
      </c>
      <c r="C30" s="346"/>
      <c r="D30" s="347"/>
      <c r="E30" s="540"/>
      <c r="F30" s="509"/>
      <c r="G30" s="322"/>
      <c r="H30" s="322"/>
      <c r="I30" s="322"/>
    </row>
    <row r="31">
      <c r="B31" s="354" t="s">
        <v>248</v>
      </c>
      <c r="C31" s="355"/>
      <c r="D31" s="356"/>
      <c r="E31" s="89"/>
      <c r="F31" s="203"/>
      <c r="G31" s="322"/>
      <c r="H31" s="322"/>
      <c r="I31" s="322"/>
    </row>
    <row r="32" ht="5.25" customHeight="1">
      <c r="B32" s="530"/>
      <c r="C32" s="531"/>
      <c r="D32" s="532"/>
      <c r="E32" s="532"/>
      <c r="F32" s="532"/>
      <c r="G32" s="322"/>
      <c r="H32" s="322"/>
      <c r="I32" s="322"/>
    </row>
    <row r="33" ht="20.25" customHeight="1">
      <c r="B33" s="345" t="s">
        <v>241</v>
      </c>
      <c r="C33" s="346"/>
      <c r="D33" s="347"/>
      <c r="E33" s="539" t="s">
        <v>405</v>
      </c>
      <c r="F33" s="509"/>
      <c r="G33" s="322"/>
      <c r="H33" s="322"/>
      <c r="I33" s="322"/>
    </row>
    <row r="34">
      <c r="B34" s="350" t="s">
        <v>394</v>
      </c>
      <c r="C34" s="346"/>
      <c r="D34" s="347"/>
      <c r="E34" s="540"/>
      <c r="F34" s="509"/>
      <c r="G34" s="322"/>
      <c r="H34" s="322"/>
      <c r="I34" s="322"/>
    </row>
    <row r="35">
      <c r="B35" s="345" t="s">
        <v>244</v>
      </c>
      <c r="C35" s="346"/>
      <c r="D35" s="347"/>
      <c r="E35" s="540"/>
      <c r="F35" s="509"/>
      <c r="G35" s="322"/>
      <c r="H35" s="322"/>
      <c r="I35" s="322"/>
    </row>
    <row r="36">
      <c r="B36" s="350" t="s">
        <v>395</v>
      </c>
      <c r="C36" s="346"/>
      <c r="D36" s="347"/>
      <c r="E36" s="540"/>
      <c r="F36" s="509"/>
      <c r="G36" s="322"/>
      <c r="H36" s="322"/>
      <c r="I36" s="322"/>
    </row>
    <row r="37">
      <c r="B37" s="345"/>
      <c r="C37" s="346"/>
      <c r="D37" s="347"/>
      <c r="E37" s="540"/>
      <c r="F37" s="509"/>
      <c r="G37" s="322"/>
      <c r="H37" s="322"/>
      <c r="I37" s="322"/>
    </row>
    <row r="38">
      <c r="B38" s="345"/>
      <c r="C38" s="346"/>
      <c r="D38" s="347"/>
      <c r="E38" s="540"/>
      <c r="F38" s="509"/>
      <c r="G38" s="322"/>
      <c r="H38" s="322"/>
      <c r="I38" s="322"/>
    </row>
    <row r="39">
      <c r="B39" s="345" t="s">
        <v>406</v>
      </c>
      <c r="C39" s="346"/>
      <c r="D39" s="347"/>
      <c r="E39" s="540"/>
      <c r="F39" s="509"/>
      <c r="G39" s="322"/>
      <c r="H39" s="322"/>
      <c r="I39" s="322"/>
    </row>
    <row r="40">
      <c r="B40" s="368" t="s">
        <v>401</v>
      </c>
      <c r="C40" s="355"/>
      <c r="D40" s="356"/>
      <c r="E40" s="89"/>
      <c r="F40" s="203"/>
      <c r="G40" s="322"/>
      <c r="H40" s="322"/>
      <c r="I40" s="322"/>
    </row>
    <row r="41" ht="5.25" customHeight="1">
      <c r="D41" s="322"/>
      <c r="E41" s="322"/>
      <c r="F41" s="322"/>
      <c r="G41" s="322"/>
      <c r="H41" s="322"/>
      <c r="I41" s="322"/>
    </row>
    <row r="42">
      <c r="B42" s="370" t="s">
        <v>254</v>
      </c>
      <c r="D42" s="322"/>
      <c r="E42" s="322"/>
      <c r="F42" s="322"/>
      <c r="G42" s="322"/>
      <c r="H42" s="322"/>
      <c r="I42" s="322"/>
    </row>
    <row r="43">
      <c r="B43" s="370" t="s">
        <v>255</v>
      </c>
      <c r="D43" s="322"/>
      <c r="E43" s="322"/>
      <c r="F43" s="322"/>
      <c r="G43" s="322"/>
      <c r="H43" s="322"/>
      <c r="I43" s="322"/>
    </row>
    <row r="44">
      <c r="B44" s="371"/>
      <c r="D44" s="322"/>
      <c r="E44" s="322"/>
      <c r="F44" s="322"/>
      <c r="G44" s="322"/>
      <c r="H44" s="322"/>
      <c r="I44" s="322"/>
    </row>
    <row r="45">
      <c r="B45" s="370" t="s">
        <v>256</v>
      </c>
      <c r="D45" s="322"/>
      <c r="E45" s="322"/>
      <c r="F45" s="322"/>
      <c r="G45" s="322"/>
      <c r="H45" s="322"/>
      <c r="I45" s="322"/>
    </row>
    <row r="46">
      <c r="B46" s="371"/>
      <c r="D46" s="322"/>
      <c r="E46" s="322"/>
      <c r="F46" s="322"/>
      <c r="G46" s="322"/>
      <c r="H46" s="322"/>
      <c r="I46" s="322"/>
    </row>
    <row r="47">
      <c r="B47" s="370" t="s">
        <v>257</v>
      </c>
      <c r="D47" s="322"/>
      <c r="E47" s="322"/>
      <c r="F47" s="322"/>
      <c r="G47" s="322"/>
      <c r="H47" s="322"/>
      <c r="I47" s="322"/>
    </row>
    <row r="48">
      <c r="B48" s="370" t="s">
        <v>258</v>
      </c>
      <c r="D48" s="322"/>
      <c r="E48" s="322"/>
      <c r="F48" s="322"/>
      <c r="G48" s="322"/>
      <c r="H48" s="322"/>
      <c r="I48" s="322"/>
    </row>
    <row r="49">
      <c r="B49" s="370" t="s">
        <v>259</v>
      </c>
      <c r="D49" s="322"/>
      <c r="E49" s="322"/>
      <c r="F49" s="322"/>
      <c r="G49" s="322"/>
      <c r="H49" s="322"/>
      <c r="I49" s="322"/>
    </row>
    <row r="50">
      <c r="B50" s="371"/>
      <c r="D50" s="322"/>
      <c r="E50" s="322"/>
      <c r="F50" s="322"/>
      <c r="G50" s="322"/>
      <c r="H50" s="322"/>
      <c r="I50" s="322"/>
    </row>
    <row r="51">
      <c r="B51" s="370" t="s">
        <v>260</v>
      </c>
      <c r="D51" s="322"/>
      <c r="E51" s="322"/>
      <c r="F51" s="322"/>
      <c r="G51" s="322"/>
      <c r="H51" s="322"/>
      <c r="I51" s="322"/>
    </row>
    <row r="52">
      <c r="B52" s="1" t="s">
        <v>261</v>
      </c>
      <c r="D52" s="322"/>
      <c r="E52" s="322"/>
      <c r="F52" s="322"/>
      <c r="G52" s="322"/>
      <c r="H52" s="322"/>
      <c r="I52" s="322"/>
    </row>
  </sheetData>
  <mergeCells count="7">
    <mergeCell ref="A6:I6"/>
    <mergeCell ref="A7:I7"/>
    <mergeCell ref="A8:I8"/>
    <mergeCell ref="B10:D10"/>
    <mergeCell ref="E20:F20"/>
    <mergeCell ref="E22:F31"/>
    <mergeCell ref="E33:F40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1C00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6" width="20.14"/>
    <col customWidth="1" min="7" max="8" width="14.43"/>
  </cols>
  <sheetData>
    <row r="1">
      <c r="B1" s="317"/>
      <c r="C1" s="317"/>
      <c r="D1" s="317"/>
      <c r="E1" s="317"/>
      <c r="F1" s="317"/>
      <c r="G1" s="317"/>
      <c r="H1" s="317"/>
    </row>
    <row r="2">
      <c r="B2" s="317"/>
      <c r="C2" s="317"/>
      <c r="D2" s="317"/>
      <c r="E2" s="317"/>
      <c r="F2" s="317"/>
      <c r="G2" s="317"/>
      <c r="H2" s="317"/>
    </row>
    <row r="3">
      <c r="B3" s="317"/>
      <c r="C3" s="317"/>
      <c r="D3" s="317"/>
      <c r="E3" s="317"/>
      <c r="F3" s="317"/>
      <c r="G3" s="317"/>
      <c r="H3" s="317"/>
    </row>
    <row r="4">
      <c r="B4" s="317"/>
      <c r="C4" s="317"/>
      <c r="D4" s="317"/>
      <c r="E4" s="317"/>
      <c r="F4" s="317"/>
      <c r="G4" s="317"/>
      <c r="H4" s="317"/>
    </row>
    <row r="5">
      <c r="B5" s="318"/>
      <c r="C5" s="318"/>
      <c r="D5" s="318"/>
      <c r="E5" s="318"/>
      <c r="F5" s="318"/>
      <c r="G5" s="318"/>
      <c r="H5" s="318"/>
    </row>
    <row r="6">
      <c r="A6" s="54" t="s">
        <v>223</v>
      </c>
    </row>
    <row r="7">
      <c r="A7" s="318" t="s">
        <v>407</v>
      </c>
    </row>
    <row r="8">
      <c r="A8" s="318" t="s">
        <v>380</v>
      </c>
    </row>
    <row r="9">
      <c r="B9" s="320"/>
      <c r="D9" s="322"/>
      <c r="E9" s="326"/>
      <c r="F9" s="322"/>
      <c r="G9" s="322"/>
      <c r="H9" s="322"/>
    </row>
    <row r="10">
      <c r="B10" s="69" t="s">
        <v>227</v>
      </c>
      <c r="E10" s="495" t="s">
        <v>61</v>
      </c>
      <c r="F10" s="496" t="s">
        <v>76</v>
      </c>
      <c r="G10" s="322"/>
      <c r="H10" s="322"/>
    </row>
    <row r="11">
      <c r="B11" s="320" t="s">
        <v>338</v>
      </c>
      <c r="D11" s="322"/>
      <c r="E11" s="322"/>
      <c r="F11" s="322"/>
      <c r="G11" s="322"/>
      <c r="H11" s="322"/>
    </row>
    <row r="12">
      <c r="B12" s="1" t="s">
        <v>232</v>
      </c>
      <c r="D12" s="322"/>
      <c r="E12" s="327">
        <v>54000.0</v>
      </c>
      <c r="F12" s="327">
        <f>E12</f>
        <v>54000</v>
      </c>
      <c r="G12" s="319" t="s">
        <v>233</v>
      </c>
      <c r="H12" s="322"/>
    </row>
    <row r="13">
      <c r="B13" s="329" t="s">
        <v>391</v>
      </c>
      <c r="D13" s="322"/>
      <c r="E13" s="330"/>
      <c r="F13" s="327"/>
      <c r="G13" s="541"/>
      <c r="H13" s="322"/>
    </row>
    <row r="14">
      <c r="B14" s="1" t="s">
        <v>234</v>
      </c>
      <c r="D14" s="322"/>
      <c r="E14" s="327">
        <v>11000.0</v>
      </c>
      <c r="F14" s="327">
        <v>11000.0</v>
      </c>
      <c r="G14" s="319" t="s">
        <v>233</v>
      </c>
      <c r="H14" s="322"/>
    </row>
    <row r="15">
      <c r="B15" s="329" t="s">
        <v>392</v>
      </c>
      <c r="D15" s="322"/>
      <c r="E15" s="330"/>
      <c r="G15" s="541"/>
      <c r="H15" s="322"/>
    </row>
    <row r="16">
      <c r="B16" s="1" t="s">
        <v>235</v>
      </c>
      <c r="D16" s="322"/>
      <c r="E16" s="327">
        <v>16000.0</v>
      </c>
      <c r="F16" s="327">
        <v>35000.0</v>
      </c>
      <c r="G16" s="319" t="s">
        <v>233</v>
      </c>
      <c r="H16" s="322"/>
    </row>
    <row r="17">
      <c r="B17" s="329" t="s">
        <v>393</v>
      </c>
      <c r="D17" s="332"/>
      <c r="E17" s="331"/>
      <c r="G17" s="541"/>
      <c r="H17" s="322"/>
    </row>
    <row r="18">
      <c r="D18" s="69" t="s">
        <v>236</v>
      </c>
      <c r="E18" s="543">
        <f t="shared" ref="E18:F18" si="1">SUM(E12:E16)</f>
        <v>81000</v>
      </c>
      <c r="F18" s="543">
        <f t="shared" si="1"/>
        <v>100000</v>
      </c>
      <c r="G18" s="319" t="s">
        <v>233</v>
      </c>
      <c r="H18" s="322"/>
    </row>
    <row r="19" ht="10.5" customHeight="1">
      <c r="D19" s="322"/>
      <c r="E19" s="322"/>
      <c r="F19" s="322"/>
      <c r="G19" s="322"/>
      <c r="H19" s="322"/>
    </row>
    <row r="20">
      <c r="B20" s="1"/>
      <c r="D20" s="322"/>
      <c r="E20" s="43"/>
      <c r="F20" s="45"/>
      <c r="G20" s="322"/>
      <c r="H20" s="322"/>
    </row>
    <row r="21">
      <c r="A21" s="334"/>
      <c r="B21" s="497" t="s">
        <v>237</v>
      </c>
      <c r="C21" s="498"/>
      <c r="D21" s="499"/>
      <c r="E21" s="500" t="s">
        <v>238</v>
      </c>
      <c r="F21" s="501" t="s">
        <v>239</v>
      </c>
      <c r="G21" s="542"/>
      <c r="H21" s="542"/>
    </row>
    <row r="22">
      <c r="B22" s="399" t="s">
        <v>240</v>
      </c>
      <c r="C22" s="346"/>
      <c r="D22" s="347"/>
      <c r="E22" s="539" t="s">
        <v>404</v>
      </c>
      <c r="F22" s="509"/>
      <c r="G22" s="322"/>
      <c r="H22" s="322"/>
    </row>
    <row r="23">
      <c r="B23" s="345" t="s">
        <v>241</v>
      </c>
      <c r="C23" s="346"/>
      <c r="D23" s="347"/>
      <c r="E23" s="540"/>
      <c r="F23" s="509"/>
      <c r="G23" s="322"/>
      <c r="H23" s="322"/>
    </row>
    <row r="24">
      <c r="B24" s="350" t="s">
        <v>394</v>
      </c>
      <c r="C24" s="346"/>
      <c r="D24" s="347"/>
      <c r="E24" s="540"/>
      <c r="F24" s="509"/>
      <c r="G24" s="322"/>
      <c r="H24" s="322"/>
    </row>
    <row r="25">
      <c r="B25" s="345"/>
      <c r="C25" s="346"/>
      <c r="D25" s="347"/>
      <c r="E25" s="540"/>
      <c r="F25" s="509"/>
      <c r="G25" s="322"/>
      <c r="H25" s="322"/>
    </row>
    <row r="26">
      <c r="B26" s="345" t="s">
        <v>244</v>
      </c>
      <c r="C26" s="346"/>
      <c r="D26" s="347"/>
      <c r="E26" s="540"/>
      <c r="F26" s="509"/>
      <c r="G26" s="322"/>
      <c r="H26" s="322"/>
    </row>
    <row r="27">
      <c r="B27" s="350" t="s">
        <v>395</v>
      </c>
      <c r="C27" s="346"/>
      <c r="D27" s="347"/>
      <c r="E27" s="540"/>
      <c r="F27" s="509"/>
      <c r="G27" s="322"/>
      <c r="H27" s="322"/>
    </row>
    <row r="28">
      <c r="B28" s="345"/>
      <c r="C28" s="346"/>
      <c r="D28" s="347"/>
      <c r="E28" s="540"/>
      <c r="F28" s="509"/>
      <c r="G28" s="322"/>
      <c r="H28" s="322"/>
    </row>
    <row r="29">
      <c r="B29" s="345" t="s">
        <v>246</v>
      </c>
      <c r="C29" s="346"/>
      <c r="D29" s="347"/>
      <c r="E29" s="540"/>
      <c r="F29" s="509"/>
      <c r="G29" s="322"/>
      <c r="H29" s="322"/>
    </row>
    <row r="30">
      <c r="B30" s="353" t="s">
        <v>396</v>
      </c>
      <c r="C30" s="346"/>
      <c r="D30" s="347"/>
      <c r="E30" s="540"/>
      <c r="F30" s="509"/>
      <c r="G30" s="322"/>
      <c r="H30" s="322"/>
    </row>
    <row r="31">
      <c r="B31" s="354" t="s">
        <v>248</v>
      </c>
      <c r="C31" s="355"/>
      <c r="D31" s="356"/>
      <c r="E31" s="89"/>
      <c r="F31" s="203"/>
      <c r="G31" s="322"/>
      <c r="H31" s="322"/>
    </row>
    <row r="32" ht="5.25" customHeight="1">
      <c r="B32" s="530"/>
      <c r="C32" s="531"/>
      <c r="D32" s="532"/>
      <c r="E32" s="532"/>
      <c r="F32" s="532"/>
      <c r="G32" s="322"/>
      <c r="H32" s="322"/>
    </row>
    <row r="33" ht="20.25" customHeight="1">
      <c r="B33" s="345" t="s">
        <v>241</v>
      </c>
      <c r="C33" s="346"/>
      <c r="D33" s="347"/>
      <c r="E33" s="539" t="s">
        <v>405</v>
      </c>
      <c r="F33" s="509"/>
      <c r="G33" s="322"/>
      <c r="H33" s="322"/>
    </row>
    <row r="34">
      <c r="B34" s="350" t="s">
        <v>394</v>
      </c>
      <c r="C34" s="346"/>
      <c r="D34" s="347"/>
      <c r="E34" s="540"/>
      <c r="F34" s="509"/>
      <c r="G34" s="322"/>
      <c r="H34" s="322"/>
    </row>
    <row r="35">
      <c r="B35" s="345" t="s">
        <v>244</v>
      </c>
      <c r="C35" s="346"/>
      <c r="D35" s="347"/>
      <c r="E35" s="540"/>
      <c r="F35" s="509"/>
      <c r="G35" s="322"/>
      <c r="H35" s="322"/>
    </row>
    <row r="36">
      <c r="B36" s="350" t="s">
        <v>395</v>
      </c>
      <c r="C36" s="346"/>
      <c r="D36" s="347"/>
      <c r="E36" s="540"/>
      <c r="F36" s="509"/>
      <c r="G36" s="322"/>
      <c r="H36" s="322"/>
    </row>
    <row r="37">
      <c r="B37" s="345"/>
      <c r="C37" s="346"/>
      <c r="D37" s="347"/>
      <c r="E37" s="540"/>
      <c r="F37" s="509"/>
      <c r="G37" s="322"/>
      <c r="H37" s="322"/>
    </row>
    <row r="38">
      <c r="B38" s="345"/>
      <c r="C38" s="346"/>
      <c r="D38" s="347"/>
      <c r="E38" s="540"/>
      <c r="F38" s="509"/>
      <c r="G38" s="322"/>
      <c r="H38" s="322"/>
    </row>
    <row r="39">
      <c r="B39" s="345" t="s">
        <v>406</v>
      </c>
      <c r="C39" s="346"/>
      <c r="D39" s="347"/>
      <c r="E39" s="540"/>
      <c r="F39" s="509"/>
      <c r="G39" s="322"/>
      <c r="H39" s="322"/>
    </row>
    <row r="40">
      <c r="B40" s="368" t="s">
        <v>401</v>
      </c>
      <c r="C40" s="355"/>
      <c r="D40" s="356"/>
      <c r="E40" s="89"/>
      <c r="F40" s="203"/>
      <c r="G40" s="322"/>
      <c r="H40" s="322"/>
    </row>
    <row r="41" ht="5.25" customHeight="1">
      <c r="D41" s="322"/>
      <c r="E41" s="322"/>
      <c r="F41" s="322"/>
      <c r="G41" s="322"/>
      <c r="H41" s="322"/>
    </row>
    <row r="42">
      <c r="B42" s="370" t="s">
        <v>254</v>
      </c>
      <c r="D42" s="322"/>
      <c r="E42" s="322"/>
      <c r="F42" s="322"/>
      <c r="G42" s="322"/>
      <c r="H42" s="322"/>
    </row>
    <row r="43">
      <c r="B43" s="370" t="s">
        <v>255</v>
      </c>
      <c r="D43" s="322"/>
      <c r="E43" s="322"/>
      <c r="F43" s="322"/>
      <c r="G43" s="322"/>
      <c r="H43" s="322"/>
    </row>
    <row r="44">
      <c r="B44" s="371"/>
      <c r="D44" s="322"/>
      <c r="E44" s="322"/>
      <c r="F44" s="322"/>
      <c r="G44" s="322"/>
      <c r="H44" s="322"/>
    </row>
    <row r="45">
      <c r="B45" s="370" t="s">
        <v>256</v>
      </c>
      <c r="D45" s="322"/>
      <c r="E45" s="322"/>
      <c r="F45" s="322"/>
      <c r="G45" s="322"/>
      <c r="H45" s="322"/>
    </row>
    <row r="46">
      <c r="B46" s="371"/>
      <c r="D46" s="322"/>
      <c r="E46" s="322"/>
      <c r="F46" s="322"/>
      <c r="G46" s="322"/>
      <c r="H46" s="322"/>
    </row>
    <row r="47">
      <c r="B47" s="370" t="s">
        <v>257</v>
      </c>
      <c r="D47" s="322"/>
      <c r="E47" s="322"/>
      <c r="F47" s="322"/>
      <c r="G47" s="322"/>
      <c r="H47" s="322"/>
    </row>
    <row r="48">
      <c r="B48" s="370" t="s">
        <v>258</v>
      </c>
      <c r="D48" s="322"/>
      <c r="E48" s="322"/>
      <c r="F48" s="322"/>
      <c r="G48" s="322"/>
      <c r="H48" s="322"/>
    </row>
    <row r="49">
      <c r="B49" s="370" t="s">
        <v>259</v>
      </c>
      <c r="D49" s="322"/>
      <c r="E49" s="322"/>
      <c r="F49" s="322"/>
      <c r="G49" s="322"/>
      <c r="H49" s="322"/>
    </row>
    <row r="50">
      <c r="B50" s="371"/>
      <c r="D50" s="322"/>
      <c r="E50" s="322"/>
      <c r="F50" s="322"/>
      <c r="G50" s="322"/>
      <c r="H50" s="322"/>
    </row>
    <row r="51">
      <c r="B51" s="370" t="s">
        <v>411</v>
      </c>
      <c r="D51" s="322"/>
      <c r="E51" s="322"/>
      <c r="F51" s="322"/>
      <c r="G51" s="322"/>
      <c r="H51" s="322"/>
    </row>
    <row r="52">
      <c r="B52" s="1" t="s">
        <v>261</v>
      </c>
      <c r="D52" s="322"/>
      <c r="E52" s="322"/>
      <c r="F52" s="322"/>
      <c r="G52" s="322"/>
      <c r="H52" s="322"/>
    </row>
  </sheetData>
  <mergeCells count="7">
    <mergeCell ref="A6:H6"/>
    <mergeCell ref="A7:H7"/>
    <mergeCell ref="A8:H8"/>
    <mergeCell ref="B10:D10"/>
    <mergeCell ref="E20:F20"/>
    <mergeCell ref="E22:F31"/>
    <mergeCell ref="E33:F40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6" width="20.14"/>
    <col customWidth="1" min="7" max="7" width="14.43"/>
    <col customWidth="1" min="8" max="8" width="22.57"/>
    <col customWidth="1" min="9" max="9" width="2.14"/>
  </cols>
  <sheetData>
    <row r="1">
      <c r="B1" s="317"/>
      <c r="C1" s="317"/>
      <c r="D1" s="317"/>
      <c r="E1" s="317"/>
      <c r="F1" s="317"/>
      <c r="G1" s="317"/>
      <c r="H1" s="317"/>
      <c r="I1" s="317"/>
    </row>
    <row r="2">
      <c r="B2" s="317"/>
      <c r="C2" s="317"/>
      <c r="D2" s="317"/>
      <c r="E2" s="317"/>
      <c r="F2" s="317"/>
      <c r="G2" s="317"/>
      <c r="H2" s="317"/>
      <c r="I2" s="317"/>
    </row>
    <row r="3">
      <c r="B3" s="317"/>
      <c r="C3" s="317"/>
      <c r="D3" s="317"/>
      <c r="E3" s="317"/>
      <c r="F3" s="317"/>
      <c r="G3" s="317"/>
      <c r="H3" s="317"/>
      <c r="I3" s="317"/>
    </row>
    <row r="4">
      <c r="B4" s="317"/>
      <c r="C4" s="317"/>
      <c r="D4" s="317"/>
      <c r="E4" s="317"/>
      <c r="F4" s="317"/>
      <c r="G4" s="317"/>
      <c r="H4" s="317"/>
      <c r="I4" s="317"/>
    </row>
    <row r="5">
      <c r="B5" s="318"/>
      <c r="C5" s="318"/>
      <c r="D5" s="318"/>
      <c r="E5" s="318"/>
      <c r="F5" s="318"/>
      <c r="G5" s="318"/>
      <c r="H5" s="318"/>
      <c r="I5" s="317"/>
    </row>
    <row r="6">
      <c r="A6" s="54" t="s">
        <v>223</v>
      </c>
      <c r="I6" s="317"/>
    </row>
    <row r="7">
      <c r="A7" s="318" t="s">
        <v>263</v>
      </c>
      <c r="I7" s="319"/>
    </row>
    <row r="8">
      <c r="A8" s="318" t="s">
        <v>225</v>
      </c>
      <c r="I8" s="319"/>
    </row>
    <row r="9">
      <c r="B9" s="320"/>
      <c r="C9" s="321"/>
      <c r="D9" s="322"/>
      <c r="E9" s="322"/>
      <c r="F9" s="322"/>
      <c r="G9" s="322"/>
      <c r="H9" s="322"/>
      <c r="I9" s="322"/>
    </row>
    <row r="10">
      <c r="B10" s="320"/>
      <c r="C10" s="321"/>
      <c r="D10" s="322"/>
      <c r="E10" s="322"/>
      <c r="F10" s="322"/>
      <c r="G10" s="322"/>
      <c r="H10" s="322"/>
      <c r="I10" s="322"/>
    </row>
    <row r="11">
      <c r="C11" s="69"/>
      <c r="D11" s="544" t="s">
        <v>227</v>
      </c>
      <c r="H11" s="322"/>
      <c r="I11" s="322"/>
    </row>
    <row r="12">
      <c r="B12" s="320" t="s">
        <v>231</v>
      </c>
      <c r="C12" s="320"/>
      <c r="D12" s="375" t="s">
        <v>412</v>
      </c>
      <c r="E12" s="495" t="s">
        <v>61</v>
      </c>
      <c r="F12" s="496" t="s">
        <v>76</v>
      </c>
      <c r="G12" s="322"/>
      <c r="H12" s="322"/>
      <c r="I12" s="322"/>
    </row>
    <row r="13">
      <c r="B13" s="1" t="s">
        <v>232</v>
      </c>
      <c r="D13" s="327">
        <v>42000.0</v>
      </c>
      <c r="E13" s="327">
        <v>42000.0</v>
      </c>
      <c r="F13" s="327">
        <v>42000.0</v>
      </c>
      <c r="G13" s="328" t="s">
        <v>233</v>
      </c>
      <c r="H13" s="322"/>
      <c r="I13" s="322"/>
    </row>
    <row r="14">
      <c r="B14" s="329"/>
      <c r="D14" s="330"/>
      <c r="E14" s="330"/>
      <c r="G14" s="322"/>
      <c r="H14" s="322"/>
      <c r="I14" s="322"/>
    </row>
    <row r="15">
      <c r="B15" s="1" t="s">
        <v>234</v>
      </c>
      <c r="D15" s="327">
        <v>14000.0</v>
      </c>
      <c r="E15" s="327">
        <v>14000.0</v>
      </c>
      <c r="F15" s="327">
        <v>14000.0</v>
      </c>
      <c r="G15" s="328" t="s">
        <v>233</v>
      </c>
      <c r="H15" s="322"/>
      <c r="I15" s="322"/>
    </row>
    <row r="16">
      <c r="B16" s="329"/>
      <c r="D16" s="330"/>
      <c r="E16" s="330"/>
      <c r="F16" s="330"/>
      <c r="G16" s="322"/>
      <c r="H16" s="322"/>
      <c r="I16" s="322"/>
    </row>
    <row r="17">
      <c r="B17" s="1" t="s">
        <v>235</v>
      </c>
      <c r="D17" s="327">
        <v>18000.0</v>
      </c>
      <c r="E17" s="327"/>
      <c r="F17" s="330"/>
      <c r="G17" s="328" t="s">
        <v>233</v>
      </c>
      <c r="H17" s="322"/>
      <c r="I17" s="322"/>
    </row>
    <row r="18">
      <c r="B18" s="329"/>
      <c r="D18" s="331"/>
      <c r="E18" s="331"/>
      <c r="G18" s="322"/>
      <c r="H18" s="322"/>
      <c r="I18" s="322"/>
    </row>
    <row r="19">
      <c r="C19" s="332" t="s">
        <v>236</v>
      </c>
      <c r="D19" s="333">
        <f t="shared" ref="D19:F19" si="1">SUM(D13:D18)</f>
        <v>74000</v>
      </c>
      <c r="E19" s="333">
        <f t="shared" si="1"/>
        <v>56000</v>
      </c>
      <c r="F19" s="333">
        <f t="shared" si="1"/>
        <v>56000</v>
      </c>
      <c r="G19" s="328" t="s">
        <v>233</v>
      </c>
      <c r="H19" s="322"/>
      <c r="I19" s="322"/>
    </row>
    <row r="20" ht="10.5" customHeight="1">
      <c r="D20" s="322"/>
      <c r="E20" s="322"/>
      <c r="F20" s="322"/>
      <c r="G20" s="322"/>
      <c r="H20" s="322"/>
      <c r="I20" s="322"/>
    </row>
    <row r="21">
      <c r="B21" s="1"/>
      <c r="D21" s="322"/>
      <c r="E21" s="43"/>
      <c r="F21" s="45"/>
      <c r="G21" s="322"/>
      <c r="H21" s="322"/>
      <c r="I21" s="328"/>
    </row>
    <row r="22">
      <c r="A22" s="334"/>
      <c r="B22" s="497" t="s">
        <v>237</v>
      </c>
      <c r="C22" s="498"/>
      <c r="D22" s="499"/>
      <c r="E22" s="500" t="s">
        <v>238</v>
      </c>
      <c r="F22" s="501" t="s">
        <v>239</v>
      </c>
      <c r="G22" s="322"/>
      <c r="H22" s="322"/>
      <c r="I22" s="340"/>
    </row>
    <row r="23">
      <c r="B23" s="383" t="s">
        <v>240</v>
      </c>
      <c r="C23" s="384"/>
      <c r="D23" s="385"/>
      <c r="E23" s="344"/>
      <c r="F23" s="344"/>
      <c r="G23" s="322"/>
      <c r="H23" s="322"/>
      <c r="I23" s="322"/>
    </row>
    <row r="24">
      <c r="B24" s="345" t="s">
        <v>241</v>
      </c>
      <c r="C24" s="346"/>
      <c r="D24" s="347"/>
      <c r="E24" s="348" t="s">
        <v>242</v>
      </c>
      <c r="F24" s="349" t="s">
        <v>243</v>
      </c>
      <c r="G24" s="322"/>
      <c r="H24" s="322"/>
      <c r="I24" s="322"/>
    </row>
    <row r="25">
      <c r="B25" s="350"/>
      <c r="C25" s="346"/>
      <c r="D25" s="347"/>
      <c r="E25" s="351"/>
      <c r="F25" s="349"/>
      <c r="G25" s="322"/>
      <c r="H25" s="322"/>
      <c r="I25" s="322"/>
    </row>
    <row r="26">
      <c r="B26" s="345"/>
      <c r="C26" s="346"/>
      <c r="D26" s="347"/>
      <c r="E26" s="348"/>
      <c r="F26" s="349"/>
      <c r="G26" s="322"/>
      <c r="H26" s="322"/>
      <c r="I26" s="322"/>
    </row>
    <row r="27">
      <c r="B27" s="345" t="s">
        <v>244</v>
      </c>
      <c r="C27" s="346"/>
      <c r="D27" s="347"/>
      <c r="E27" s="348" t="s">
        <v>245</v>
      </c>
      <c r="F27" s="349" t="s">
        <v>243</v>
      </c>
      <c r="G27" s="322"/>
      <c r="H27" s="322"/>
      <c r="I27" s="322"/>
    </row>
    <row r="28">
      <c r="B28" s="350"/>
      <c r="C28" s="346"/>
      <c r="D28" s="347"/>
      <c r="E28" s="344"/>
      <c r="F28" s="349"/>
      <c r="G28" s="322"/>
      <c r="H28" s="322"/>
      <c r="I28" s="322"/>
    </row>
    <row r="29">
      <c r="B29" s="345"/>
      <c r="C29" s="346"/>
      <c r="D29" s="347"/>
      <c r="E29" s="352"/>
      <c r="F29" s="349"/>
      <c r="G29" s="322"/>
      <c r="H29" s="322"/>
      <c r="I29" s="322"/>
    </row>
    <row r="30">
      <c r="B30" s="345" t="s">
        <v>246</v>
      </c>
      <c r="C30" s="346"/>
      <c r="D30" s="347"/>
      <c r="E30" s="352" t="s">
        <v>247</v>
      </c>
      <c r="F30" s="349" t="s">
        <v>243</v>
      </c>
      <c r="G30" s="322"/>
      <c r="H30" s="322"/>
      <c r="I30" s="322"/>
    </row>
    <row r="31">
      <c r="B31" s="353"/>
      <c r="C31" s="346"/>
      <c r="D31" s="347"/>
      <c r="E31" s="344"/>
      <c r="F31" s="344"/>
      <c r="G31" s="322"/>
      <c r="H31" s="322"/>
      <c r="I31" s="322"/>
    </row>
    <row r="32">
      <c r="B32" s="354" t="s">
        <v>248</v>
      </c>
      <c r="C32" s="355"/>
      <c r="D32" s="356"/>
      <c r="E32" s="357"/>
      <c r="F32" s="357"/>
      <c r="G32" s="322"/>
      <c r="H32" s="322"/>
      <c r="I32" s="322"/>
    </row>
    <row r="33">
      <c r="B33" s="502" t="s">
        <v>249</v>
      </c>
      <c r="C33" s="503"/>
      <c r="D33" s="504"/>
      <c r="E33" s="361"/>
      <c r="F33" s="362"/>
      <c r="G33" s="322"/>
      <c r="H33" s="322"/>
      <c r="I33" s="322"/>
    </row>
    <row r="34">
      <c r="B34" s="466" t="s">
        <v>250</v>
      </c>
      <c r="C34" s="346"/>
      <c r="D34" s="347"/>
      <c r="E34" s="347"/>
      <c r="F34" s="362"/>
      <c r="G34" s="322"/>
      <c r="H34" s="322"/>
      <c r="I34" s="322"/>
    </row>
    <row r="35">
      <c r="B35" s="345" t="s">
        <v>241</v>
      </c>
      <c r="C35" s="346"/>
      <c r="D35" s="347"/>
      <c r="E35" s="366" t="s">
        <v>251</v>
      </c>
      <c r="F35" s="367" t="s">
        <v>252</v>
      </c>
      <c r="G35" s="322"/>
      <c r="H35" s="322"/>
      <c r="I35" s="322"/>
    </row>
    <row r="36">
      <c r="B36" s="350"/>
      <c r="C36" s="346"/>
      <c r="D36" s="347"/>
      <c r="F36" s="362"/>
      <c r="G36" s="322"/>
      <c r="H36" s="322"/>
      <c r="I36" s="322"/>
    </row>
    <row r="37">
      <c r="B37" s="345" t="s">
        <v>244</v>
      </c>
      <c r="C37" s="346"/>
      <c r="D37" s="347"/>
      <c r="F37" s="367" t="s">
        <v>252</v>
      </c>
      <c r="G37" s="322"/>
      <c r="H37" s="322"/>
      <c r="I37" s="322"/>
    </row>
    <row r="38">
      <c r="B38" s="350"/>
      <c r="C38" s="346"/>
      <c r="D38" s="347"/>
      <c r="E38" s="347"/>
      <c r="F38" s="367"/>
      <c r="G38" s="322"/>
      <c r="H38" s="322"/>
      <c r="I38" s="322"/>
    </row>
    <row r="39">
      <c r="B39" s="345"/>
      <c r="C39" s="346"/>
      <c r="D39" s="347"/>
      <c r="E39" s="347"/>
      <c r="F39" s="362"/>
      <c r="G39" s="322"/>
      <c r="H39" s="322"/>
      <c r="I39" s="322"/>
    </row>
    <row r="40">
      <c r="B40" s="345" t="s">
        <v>253</v>
      </c>
      <c r="C40" s="346"/>
      <c r="D40" s="347"/>
      <c r="E40" s="347"/>
      <c r="F40" s="367" t="s">
        <v>252</v>
      </c>
      <c r="G40" s="322"/>
      <c r="H40" s="322"/>
      <c r="I40" s="322"/>
    </row>
    <row r="41">
      <c r="B41" s="350"/>
      <c r="C41" s="346"/>
      <c r="D41" s="347"/>
      <c r="E41" s="347"/>
      <c r="F41" s="362"/>
      <c r="G41" s="322"/>
      <c r="H41" s="322"/>
      <c r="I41" s="322"/>
    </row>
    <row r="42">
      <c r="B42" s="368"/>
      <c r="C42" s="355"/>
      <c r="D42" s="356"/>
      <c r="E42" s="356"/>
      <c r="F42" s="369"/>
      <c r="G42" s="322"/>
      <c r="H42" s="322"/>
      <c r="I42" s="322"/>
    </row>
    <row r="43" ht="5.25" customHeight="1">
      <c r="D43" s="322"/>
      <c r="E43" s="322"/>
      <c r="F43" s="322"/>
      <c r="G43" s="322"/>
      <c r="H43" s="322"/>
      <c r="I43" s="322"/>
    </row>
    <row r="44">
      <c r="B44" s="370" t="s">
        <v>254</v>
      </c>
      <c r="D44" s="322"/>
      <c r="E44" s="322"/>
      <c r="F44" s="322"/>
      <c r="G44" s="322"/>
      <c r="H44" s="322"/>
      <c r="I44" s="322"/>
    </row>
    <row r="45">
      <c r="B45" s="370" t="s">
        <v>255</v>
      </c>
      <c r="D45" s="322"/>
      <c r="E45" s="322"/>
      <c r="F45" s="322"/>
      <c r="G45" s="322"/>
      <c r="H45" s="322"/>
      <c r="I45" s="322"/>
    </row>
    <row r="46">
      <c r="B46" s="371"/>
      <c r="D46" s="322"/>
      <c r="E46" s="322"/>
      <c r="F46" s="322"/>
      <c r="G46" s="322"/>
      <c r="H46" s="322"/>
      <c r="I46" s="322"/>
    </row>
    <row r="47">
      <c r="B47" s="370" t="s">
        <v>256</v>
      </c>
      <c r="D47" s="322"/>
      <c r="E47" s="322"/>
      <c r="F47" s="322"/>
      <c r="G47" s="322"/>
      <c r="H47" s="322"/>
      <c r="I47" s="322"/>
    </row>
    <row r="48">
      <c r="B48" s="371"/>
      <c r="D48" s="322"/>
      <c r="E48" s="322"/>
      <c r="F48" s="322"/>
      <c r="G48" s="322"/>
      <c r="H48" s="322"/>
      <c r="I48" s="322"/>
    </row>
    <row r="49">
      <c r="B49" s="370" t="s">
        <v>257</v>
      </c>
      <c r="D49" s="322"/>
      <c r="E49" s="322"/>
      <c r="F49" s="322"/>
      <c r="G49" s="322"/>
      <c r="H49" s="322"/>
      <c r="I49" s="322"/>
    </row>
    <row r="50">
      <c r="B50" s="370" t="s">
        <v>258</v>
      </c>
      <c r="D50" s="322"/>
      <c r="E50" s="322"/>
      <c r="F50" s="322"/>
      <c r="G50" s="322"/>
      <c r="H50" s="322"/>
      <c r="I50" s="322"/>
    </row>
    <row r="51">
      <c r="B51" s="370" t="s">
        <v>259</v>
      </c>
      <c r="D51" s="322"/>
      <c r="E51" s="322"/>
      <c r="F51" s="322"/>
      <c r="G51" s="322"/>
      <c r="H51" s="322"/>
      <c r="I51" s="322"/>
    </row>
    <row r="52">
      <c r="B52" s="371"/>
      <c r="D52" s="322"/>
      <c r="E52" s="322"/>
      <c r="F52" s="322"/>
      <c r="G52" s="322"/>
      <c r="H52" s="322"/>
      <c r="I52" s="322"/>
    </row>
    <row r="53">
      <c r="B53" s="370" t="s">
        <v>260</v>
      </c>
      <c r="D53" s="322"/>
      <c r="E53" s="322"/>
      <c r="F53" s="322"/>
      <c r="G53" s="322"/>
      <c r="H53" s="322"/>
      <c r="I53" s="322"/>
    </row>
    <row r="54">
      <c r="B54" s="1" t="s">
        <v>261</v>
      </c>
      <c r="D54" s="322"/>
      <c r="E54" s="322"/>
      <c r="F54" s="322"/>
      <c r="G54" s="322"/>
      <c r="H54" s="322"/>
      <c r="I54" s="322"/>
    </row>
    <row r="55">
      <c r="B55" s="1"/>
      <c r="D55" s="322"/>
      <c r="E55" s="322"/>
      <c r="F55" s="322"/>
      <c r="G55" s="322"/>
      <c r="H55" s="322"/>
      <c r="I55" s="322"/>
    </row>
    <row r="56">
      <c r="B56" s="1"/>
      <c r="D56" s="322"/>
      <c r="E56" s="322"/>
      <c r="F56" s="322"/>
      <c r="G56" s="322"/>
      <c r="H56" s="322"/>
      <c r="I56" s="322"/>
    </row>
    <row r="57">
      <c r="B57" s="1"/>
      <c r="D57" s="322"/>
      <c r="E57" s="322"/>
      <c r="F57" s="322"/>
      <c r="G57" s="322"/>
      <c r="H57" s="322"/>
      <c r="I57" s="322"/>
    </row>
    <row r="58">
      <c r="B58" s="1"/>
      <c r="D58" s="322"/>
      <c r="E58" s="322"/>
      <c r="F58" s="322"/>
      <c r="G58" s="322"/>
      <c r="H58" s="322"/>
      <c r="I58" s="322"/>
    </row>
    <row r="59">
      <c r="B59" s="1"/>
      <c r="D59" s="322"/>
      <c r="E59" s="322"/>
      <c r="F59" s="322"/>
      <c r="G59" s="322"/>
      <c r="H59" s="322"/>
      <c r="I59" s="322"/>
    </row>
    <row r="60">
      <c r="B60" s="317"/>
      <c r="C60" s="317"/>
      <c r="D60" s="317"/>
      <c r="E60" s="317"/>
      <c r="F60" s="317"/>
      <c r="G60" s="317"/>
      <c r="H60" s="317"/>
      <c r="I60" s="322"/>
    </row>
    <row r="61">
      <c r="B61" s="317"/>
      <c r="C61" s="317"/>
      <c r="D61" s="317"/>
      <c r="E61" s="317"/>
      <c r="F61" s="317"/>
      <c r="G61" s="317"/>
      <c r="H61" s="317"/>
      <c r="I61" s="322"/>
    </row>
    <row r="62">
      <c r="B62" s="317"/>
      <c r="C62" s="317"/>
      <c r="D62" s="317"/>
      <c r="E62" s="317"/>
      <c r="F62" s="317"/>
      <c r="G62" s="317"/>
      <c r="H62" s="317"/>
      <c r="I62" s="322"/>
    </row>
    <row r="63">
      <c r="B63" s="317"/>
      <c r="C63" s="317"/>
      <c r="D63" s="317"/>
      <c r="E63" s="317"/>
      <c r="F63" s="317"/>
      <c r="G63" s="317"/>
      <c r="H63" s="317"/>
      <c r="I63" s="322"/>
    </row>
    <row r="64">
      <c r="B64" s="317"/>
      <c r="C64" s="317"/>
      <c r="D64" s="317"/>
      <c r="E64" s="317"/>
      <c r="F64" s="317"/>
      <c r="G64" s="317"/>
      <c r="H64" s="317"/>
      <c r="I64" s="322"/>
    </row>
    <row r="65">
      <c r="B65" s="318"/>
      <c r="C65" s="318"/>
      <c r="D65" s="318"/>
      <c r="E65" s="318"/>
      <c r="F65" s="318"/>
      <c r="G65" s="318"/>
      <c r="H65" s="318"/>
      <c r="I65" s="322"/>
    </row>
    <row r="66">
      <c r="A66" s="372" t="s">
        <v>262</v>
      </c>
      <c r="I66" s="322"/>
    </row>
    <row r="67">
      <c r="A67" s="318" t="s">
        <v>263</v>
      </c>
      <c r="I67" s="322"/>
    </row>
    <row r="68">
      <c r="A68" s="318" t="s">
        <v>264</v>
      </c>
      <c r="I68" s="322"/>
    </row>
    <row r="69">
      <c r="B69" s="373"/>
      <c r="C69" s="321"/>
      <c r="D69" s="322"/>
      <c r="E69" s="322"/>
      <c r="F69" s="322"/>
      <c r="G69" s="322"/>
      <c r="H69" s="322"/>
      <c r="I69" s="322"/>
    </row>
    <row r="70">
      <c r="B70" s="373"/>
      <c r="C70" s="321"/>
      <c r="D70" s="322"/>
      <c r="E70" s="322"/>
      <c r="F70" s="322"/>
      <c r="G70" s="322"/>
      <c r="H70" s="322"/>
      <c r="I70" s="322"/>
    </row>
    <row r="71">
      <c r="D71" s="374" t="s">
        <v>265</v>
      </c>
      <c r="G71" s="322"/>
      <c r="H71" s="322"/>
      <c r="I71" s="322"/>
    </row>
    <row r="72">
      <c r="B72" s="373" t="s">
        <v>266</v>
      </c>
      <c r="D72" s="375" t="s">
        <v>267</v>
      </c>
      <c r="E72" s="376" t="s">
        <v>268</v>
      </c>
      <c r="F72" s="377" t="s">
        <v>269</v>
      </c>
      <c r="G72" s="322"/>
      <c r="H72" s="322"/>
      <c r="I72" s="322"/>
    </row>
    <row r="73">
      <c r="B73" s="1" t="s">
        <v>270</v>
      </c>
      <c r="D73" s="330">
        <f t="shared" ref="D73:F73" si="2">D13</f>
        <v>42000</v>
      </c>
      <c r="E73" s="330">
        <f t="shared" si="2"/>
        <v>42000</v>
      </c>
      <c r="F73" s="330">
        <f t="shared" si="2"/>
        <v>42000</v>
      </c>
      <c r="G73" s="328" t="s">
        <v>170</v>
      </c>
      <c r="H73" s="322"/>
      <c r="I73" s="322"/>
    </row>
    <row r="74">
      <c r="B74" s="329"/>
      <c r="D74" s="330"/>
      <c r="E74" s="330"/>
      <c r="G74" s="322"/>
      <c r="H74" s="322"/>
      <c r="I74" s="322"/>
    </row>
    <row r="75">
      <c r="B75" s="1" t="s">
        <v>271</v>
      </c>
      <c r="D75" s="330">
        <f t="shared" ref="D75:F75" si="3">D15</f>
        <v>14000</v>
      </c>
      <c r="E75" s="330">
        <f t="shared" si="3"/>
        <v>14000</v>
      </c>
      <c r="F75" s="330">
        <f t="shared" si="3"/>
        <v>14000</v>
      </c>
      <c r="G75" s="328" t="s">
        <v>170</v>
      </c>
      <c r="H75" s="322"/>
      <c r="I75" s="322"/>
    </row>
    <row r="76">
      <c r="B76" s="329"/>
      <c r="D76" s="330"/>
      <c r="E76" s="330"/>
      <c r="G76" s="322"/>
      <c r="H76" s="322"/>
      <c r="I76" s="322"/>
    </row>
    <row r="77">
      <c r="B77" s="1" t="s">
        <v>272</v>
      </c>
      <c r="D77" s="330">
        <f t="shared" ref="D77:F77" si="4">D17</f>
        <v>18000</v>
      </c>
      <c r="E77" s="330" t="str">
        <f t="shared" si="4"/>
        <v/>
      </c>
      <c r="F77" s="330" t="str">
        <f t="shared" si="4"/>
        <v/>
      </c>
      <c r="G77" s="328" t="s">
        <v>170</v>
      </c>
      <c r="H77" s="322"/>
      <c r="I77" s="322"/>
    </row>
    <row r="78">
      <c r="B78" s="329"/>
      <c r="D78" s="331"/>
      <c r="E78" s="331"/>
      <c r="G78" s="322"/>
      <c r="H78" s="322"/>
      <c r="I78" s="322"/>
    </row>
    <row r="79">
      <c r="C79" s="378" t="s">
        <v>273</v>
      </c>
      <c r="D79" s="331">
        <f t="shared" ref="D79:F79" si="5">SUM(D73:D77)</f>
        <v>74000</v>
      </c>
      <c r="E79" s="331">
        <f t="shared" si="5"/>
        <v>56000</v>
      </c>
      <c r="F79" s="331">
        <f t="shared" si="5"/>
        <v>56000</v>
      </c>
      <c r="G79" s="328" t="s">
        <v>170</v>
      </c>
      <c r="H79" s="322"/>
      <c r="I79" s="322"/>
    </row>
    <row r="80">
      <c r="D80" s="322"/>
      <c r="E80" s="322"/>
      <c r="F80" s="322"/>
      <c r="G80" s="322"/>
      <c r="H80" s="322"/>
      <c r="I80" s="322"/>
    </row>
    <row r="81">
      <c r="B81" s="1"/>
      <c r="D81" s="322"/>
      <c r="E81" s="43"/>
      <c r="F81" s="45"/>
      <c r="G81" s="322"/>
      <c r="H81" s="322"/>
      <c r="I81" s="322"/>
    </row>
    <row r="82">
      <c r="B82" s="379" t="s">
        <v>274</v>
      </c>
      <c r="C82" s="380"/>
      <c r="D82" s="381"/>
      <c r="E82" s="382" t="s">
        <v>275</v>
      </c>
      <c r="F82" s="382" t="s">
        <v>276</v>
      </c>
      <c r="G82" s="322"/>
      <c r="H82" s="322"/>
      <c r="I82" s="322"/>
    </row>
    <row r="83">
      <c r="B83" s="383" t="s">
        <v>277</v>
      </c>
      <c r="C83" s="384"/>
      <c r="D83" s="385"/>
      <c r="E83" s="344"/>
      <c r="F83" s="344"/>
      <c r="G83" s="322"/>
      <c r="H83" s="322"/>
      <c r="I83" s="322"/>
    </row>
    <row r="84">
      <c r="B84" s="345" t="s">
        <v>278</v>
      </c>
      <c r="C84" s="346"/>
      <c r="D84" s="347"/>
      <c r="E84" s="348" t="s">
        <v>242</v>
      </c>
      <c r="F84" s="349" t="s">
        <v>243</v>
      </c>
      <c r="G84" s="322"/>
      <c r="H84" s="322"/>
      <c r="I84" s="322"/>
    </row>
    <row r="85">
      <c r="B85" s="350"/>
      <c r="C85" s="346"/>
      <c r="D85" s="347"/>
      <c r="E85" s="351"/>
      <c r="F85" s="349"/>
      <c r="G85" s="322"/>
      <c r="H85" s="322"/>
      <c r="I85" s="322"/>
    </row>
    <row r="86">
      <c r="B86" s="345"/>
      <c r="C86" s="346"/>
      <c r="D86" s="347"/>
      <c r="E86" s="348"/>
      <c r="F86" s="349"/>
      <c r="G86" s="322"/>
      <c r="H86" s="322"/>
      <c r="I86" s="322"/>
    </row>
    <row r="87">
      <c r="B87" s="345" t="s">
        <v>279</v>
      </c>
      <c r="C87" s="346"/>
      <c r="D87" s="347"/>
      <c r="E87" s="348" t="s">
        <v>245</v>
      </c>
      <c r="F87" s="349" t="s">
        <v>243</v>
      </c>
      <c r="G87" s="322"/>
      <c r="H87" s="322"/>
      <c r="I87" s="322"/>
    </row>
    <row r="88">
      <c r="B88" s="350"/>
      <c r="C88" s="346"/>
      <c r="D88" s="347"/>
      <c r="E88" s="344"/>
      <c r="F88" s="349"/>
      <c r="G88" s="322"/>
      <c r="H88" s="322"/>
      <c r="I88" s="322"/>
    </row>
    <row r="89">
      <c r="B89" s="345"/>
      <c r="C89" s="346"/>
      <c r="D89" s="347"/>
      <c r="E89" s="352"/>
      <c r="F89" s="349"/>
      <c r="G89" s="322"/>
      <c r="H89" s="322"/>
      <c r="I89" s="322"/>
    </row>
    <row r="90">
      <c r="B90" s="345" t="s">
        <v>280</v>
      </c>
      <c r="C90" s="346"/>
      <c r="D90" s="347"/>
      <c r="E90" s="352" t="s">
        <v>247</v>
      </c>
      <c r="F90" s="349" t="s">
        <v>243</v>
      </c>
      <c r="G90" s="322"/>
      <c r="H90" s="322"/>
      <c r="I90" s="322"/>
    </row>
    <row r="91">
      <c r="B91" s="353"/>
      <c r="C91" s="346"/>
      <c r="D91" s="347"/>
      <c r="E91" s="344"/>
      <c r="F91" s="344"/>
      <c r="G91" s="322"/>
      <c r="H91" s="322"/>
      <c r="I91" s="322"/>
    </row>
    <row r="92">
      <c r="B92" s="354" t="s">
        <v>248</v>
      </c>
      <c r="C92" s="355"/>
      <c r="D92" s="356"/>
      <c r="E92" s="357"/>
      <c r="F92" s="357"/>
      <c r="G92" s="322"/>
      <c r="H92" s="322"/>
      <c r="I92" s="322"/>
    </row>
    <row r="93">
      <c r="B93" s="386" t="s">
        <v>281</v>
      </c>
      <c r="C93" s="384"/>
      <c r="D93" s="385"/>
      <c r="E93" s="361"/>
      <c r="F93" s="361"/>
      <c r="G93" s="322"/>
      <c r="H93" s="322"/>
      <c r="I93" s="322"/>
    </row>
    <row r="94">
      <c r="B94" s="345" t="s">
        <v>278</v>
      </c>
      <c r="C94" s="346"/>
      <c r="D94" s="347"/>
      <c r="E94" s="387" t="s">
        <v>251</v>
      </c>
      <c r="F94" s="361" t="s">
        <v>282</v>
      </c>
      <c r="G94" s="322"/>
      <c r="H94" s="322"/>
      <c r="I94" s="322"/>
    </row>
    <row r="95">
      <c r="B95" s="350"/>
      <c r="D95" s="346"/>
      <c r="E95" s="19"/>
      <c r="F95" s="361"/>
      <c r="G95" s="322"/>
      <c r="H95" s="322"/>
      <c r="I95" s="322"/>
    </row>
    <row r="96">
      <c r="B96" s="345" t="s">
        <v>279</v>
      </c>
      <c r="C96" s="346"/>
      <c r="D96" s="347"/>
      <c r="E96" s="21"/>
      <c r="F96" s="361" t="s">
        <v>282</v>
      </c>
      <c r="G96" s="322"/>
      <c r="H96" s="322"/>
      <c r="I96" s="322"/>
    </row>
    <row r="97">
      <c r="B97" s="350"/>
      <c r="C97" s="346"/>
      <c r="D97" s="347"/>
      <c r="E97" s="361"/>
      <c r="F97" s="388"/>
      <c r="G97" s="322"/>
      <c r="H97" s="322"/>
      <c r="I97" s="322"/>
    </row>
    <row r="98">
      <c r="B98" s="345"/>
      <c r="C98" s="346"/>
      <c r="D98" s="347"/>
      <c r="E98" s="361"/>
      <c r="F98" s="361"/>
      <c r="G98" s="322"/>
      <c r="H98" s="322"/>
      <c r="I98" s="322"/>
    </row>
    <row r="99">
      <c r="B99" s="389" t="s">
        <v>283</v>
      </c>
      <c r="C99" s="346"/>
      <c r="D99" s="347"/>
      <c r="E99" s="361"/>
      <c r="F99" s="361" t="s">
        <v>282</v>
      </c>
      <c r="G99" s="322"/>
      <c r="H99" s="322"/>
      <c r="I99" s="322"/>
    </row>
    <row r="100">
      <c r="B100" s="350"/>
      <c r="C100" s="346"/>
      <c r="D100" s="347"/>
      <c r="E100" s="361"/>
      <c r="F100" s="361"/>
      <c r="G100" s="322"/>
      <c r="H100" s="322"/>
      <c r="I100" s="322"/>
    </row>
    <row r="101">
      <c r="B101" s="368"/>
      <c r="C101" s="355"/>
      <c r="D101" s="356"/>
      <c r="E101" s="369"/>
      <c r="F101" s="369"/>
      <c r="G101" s="322"/>
      <c r="H101" s="322"/>
      <c r="I101" s="322"/>
    </row>
    <row r="102">
      <c r="D102" s="322"/>
      <c r="E102" s="322"/>
      <c r="F102" s="322"/>
      <c r="G102" s="322"/>
      <c r="H102" s="322"/>
      <c r="I102" s="322"/>
    </row>
    <row r="103">
      <c r="B103" s="370" t="s">
        <v>254</v>
      </c>
      <c r="D103" s="322"/>
      <c r="E103" s="322"/>
      <c r="F103" s="322"/>
      <c r="G103" s="322"/>
      <c r="H103" s="322"/>
      <c r="I103" s="322"/>
    </row>
    <row r="104">
      <c r="B104" s="370" t="s">
        <v>255</v>
      </c>
      <c r="D104" s="322"/>
      <c r="E104" s="322"/>
      <c r="F104" s="322"/>
      <c r="G104" s="322"/>
      <c r="H104" s="322"/>
      <c r="I104" s="322"/>
    </row>
    <row r="105">
      <c r="B105" s="371"/>
      <c r="D105" s="322"/>
      <c r="E105" s="322"/>
      <c r="F105" s="322"/>
      <c r="G105" s="322"/>
      <c r="H105" s="322"/>
      <c r="I105" s="322"/>
    </row>
    <row r="106">
      <c r="B106" s="370" t="s">
        <v>256</v>
      </c>
      <c r="D106" s="322"/>
      <c r="E106" s="322"/>
      <c r="F106" s="322"/>
      <c r="G106" s="322"/>
      <c r="H106" s="322"/>
      <c r="I106" s="322"/>
    </row>
    <row r="107">
      <c r="B107" s="371"/>
      <c r="D107" s="322"/>
      <c r="E107" s="322"/>
      <c r="F107" s="322"/>
      <c r="G107" s="322"/>
      <c r="H107" s="322"/>
      <c r="I107" s="322"/>
    </row>
    <row r="108">
      <c r="B108" s="370" t="s">
        <v>257</v>
      </c>
      <c r="D108" s="322"/>
      <c r="E108" s="322"/>
      <c r="F108" s="322"/>
      <c r="G108" s="322"/>
      <c r="H108" s="322"/>
      <c r="I108" s="322"/>
    </row>
    <row r="109">
      <c r="B109" s="370" t="s">
        <v>258</v>
      </c>
      <c r="D109" s="322"/>
      <c r="E109" s="322"/>
      <c r="F109" s="322"/>
      <c r="G109" s="322"/>
      <c r="H109" s="322"/>
      <c r="I109" s="322"/>
    </row>
    <row r="110">
      <c r="B110" s="370" t="s">
        <v>259</v>
      </c>
      <c r="D110" s="322"/>
      <c r="E110" s="322"/>
      <c r="F110" s="322"/>
      <c r="G110" s="322"/>
      <c r="H110" s="322"/>
      <c r="I110" s="322"/>
    </row>
    <row r="111">
      <c r="B111" s="371"/>
      <c r="D111" s="322"/>
      <c r="E111" s="322"/>
      <c r="F111" s="322"/>
      <c r="G111" s="322"/>
      <c r="H111" s="322"/>
      <c r="I111" s="322"/>
    </row>
    <row r="112">
      <c r="B112" s="370" t="s">
        <v>260</v>
      </c>
      <c r="D112" s="322"/>
      <c r="E112" s="322"/>
      <c r="F112" s="322"/>
      <c r="G112" s="322"/>
      <c r="H112" s="322"/>
      <c r="I112" s="322"/>
    </row>
    <row r="113">
      <c r="B113" s="1" t="s">
        <v>261</v>
      </c>
      <c r="D113" s="322"/>
      <c r="E113" s="322"/>
      <c r="F113" s="322"/>
      <c r="G113" s="322"/>
      <c r="H113" s="322"/>
      <c r="I113" s="322"/>
    </row>
    <row r="114">
      <c r="B114" s="1"/>
      <c r="D114" s="322"/>
      <c r="E114" s="322"/>
      <c r="F114" s="322"/>
      <c r="G114" s="322"/>
      <c r="H114" s="322"/>
      <c r="I114" s="322"/>
    </row>
  </sheetData>
  <mergeCells count="12">
    <mergeCell ref="A67:H67"/>
    <mergeCell ref="A68:H68"/>
    <mergeCell ref="D71:F71"/>
    <mergeCell ref="E81:F81"/>
    <mergeCell ref="E94:E96"/>
    <mergeCell ref="A6:H6"/>
    <mergeCell ref="A7:H7"/>
    <mergeCell ref="A8:H8"/>
    <mergeCell ref="D11:F11"/>
    <mergeCell ref="E21:F21"/>
    <mergeCell ref="E35:E37"/>
    <mergeCell ref="A66:H66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20.71"/>
    <col customWidth="1" min="5" max="6" width="20.14"/>
    <col customWidth="1" min="7" max="7" width="14.43"/>
    <col customWidth="1" min="8" max="8" width="22.57"/>
    <col customWidth="1" min="9" max="9" width="2.14"/>
  </cols>
  <sheetData>
    <row r="1">
      <c r="B1" s="317"/>
      <c r="C1" s="317"/>
      <c r="D1" s="317"/>
      <c r="E1" s="317"/>
      <c r="F1" s="317"/>
      <c r="G1" s="317"/>
      <c r="H1" s="317"/>
      <c r="I1" s="317"/>
    </row>
    <row r="2">
      <c r="B2" s="317"/>
      <c r="C2" s="317"/>
      <c r="D2" s="317"/>
      <c r="E2" s="317"/>
      <c r="F2" s="317"/>
      <c r="G2" s="317"/>
      <c r="H2" s="317"/>
      <c r="I2" s="317"/>
    </row>
    <row r="3">
      <c r="B3" s="317"/>
      <c r="C3" s="317"/>
      <c r="D3" s="317"/>
      <c r="E3" s="317"/>
      <c r="F3" s="317"/>
      <c r="G3" s="317"/>
      <c r="H3" s="317"/>
      <c r="I3" s="317"/>
    </row>
    <row r="4">
      <c r="B4" s="317"/>
      <c r="C4" s="317"/>
      <c r="D4" s="317"/>
      <c r="E4" s="317"/>
      <c r="F4" s="317"/>
      <c r="G4" s="317"/>
      <c r="H4" s="317"/>
      <c r="I4" s="317"/>
    </row>
    <row r="5">
      <c r="B5" s="318"/>
      <c r="C5" s="318"/>
      <c r="D5" s="318"/>
      <c r="E5" s="318"/>
      <c r="F5" s="318"/>
      <c r="G5" s="318"/>
      <c r="H5" s="318"/>
      <c r="I5" s="317"/>
    </row>
    <row r="6">
      <c r="A6" s="54" t="s">
        <v>223</v>
      </c>
      <c r="I6" s="317"/>
    </row>
    <row r="7">
      <c r="A7" s="318" t="s">
        <v>263</v>
      </c>
      <c r="I7" s="319"/>
    </row>
    <row r="8">
      <c r="A8" s="318" t="s">
        <v>225</v>
      </c>
      <c r="I8" s="319"/>
    </row>
    <row r="9">
      <c r="B9" s="320"/>
      <c r="C9" s="321"/>
      <c r="D9" s="322"/>
      <c r="E9" s="322"/>
      <c r="F9" s="322"/>
      <c r="G9" s="322"/>
      <c r="H9" s="322"/>
      <c r="I9" s="322"/>
    </row>
    <row r="10">
      <c r="B10" s="320"/>
      <c r="C10" s="321"/>
      <c r="D10" s="322"/>
      <c r="E10" s="322"/>
      <c r="F10" s="322"/>
      <c r="G10" s="322"/>
      <c r="H10" s="322"/>
      <c r="I10" s="322"/>
    </row>
    <row r="11">
      <c r="C11" s="69"/>
      <c r="D11" s="544" t="s">
        <v>227</v>
      </c>
      <c r="H11" s="322"/>
      <c r="I11" s="322"/>
    </row>
    <row r="12">
      <c r="B12" s="320" t="s">
        <v>231</v>
      </c>
      <c r="C12" s="320"/>
      <c r="D12" s="375" t="s">
        <v>412</v>
      </c>
      <c r="E12" s="495" t="s">
        <v>61</v>
      </c>
      <c r="F12" s="496" t="s">
        <v>76</v>
      </c>
      <c r="G12" s="322"/>
      <c r="H12" s="322"/>
      <c r="I12" s="322"/>
    </row>
    <row r="13">
      <c r="B13" s="1" t="s">
        <v>232</v>
      </c>
      <c r="D13" s="327">
        <v>42000.0</v>
      </c>
      <c r="E13" s="327">
        <v>42000.0</v>
      </c>
      <c r="F13" s="327">
        <v>42000.0</v>
      </c>
      <c r="G13" s="328" t="s">
        <v>233</v>
      </c>
      <c r="H13" s="322"/>
      <c r="I13" s="322"/>
    </row>
    <row r="14">
      <c r="B14" s="329"/>
      <c r="D14" s="330"/>
      <c r="E14" s="330"/>
      <c r="G14" s="322"/>
      <c r="H14" s="322"/>
      <c r="I14" s="322"/>
    </row>
    <row r="15">
      <c r="B15" s="1" t="s">
        <v>234</v>
      </c>
      <c r="D15" s="327">
        <v>14000.0</v>
      </c>
      <c r="E15" s="327">
        <v>14000.0</v>
      </c>
      <c r="F15" s="327">
        <v>14000.0</v>
      </c>
      <c r="G15" s="328" t="s">
        <v>233</v>
      </c>
      <c r="H15" s="322"/>
      <c r="I15" s="322"/>
    </row>
    <row r="16">
      <c r="B16" s="329"/>
      <c r="D16" s="330"/>
      <c r="E16" s="330"/>
      <c r="F16" s="330"/>
      <c r="G16" s="322"/>
      <c r="H16" s="322"/>
      <c r="I16" s="322"/>
    </row>
    <row r="17">
      <c r="B17" s="1" t="s">
        <v>235</v>
      </c>
      <c r="D17" s="327">
        <v>18000.0</v>
      </c>
      <c r="E17" s="327"/>
      <c r="F17" s="330"/>
      <c r="G17" s="328" t="s">
        <v>233</v>
      </c>
      <c r="H17" s="322"/>
      <c r="I17" s="322"/>
    </row>
    <row r="18">
      <c r="B18" s="329"/>
      <c r="D18" s="331"/>
      <c r="E18" s="331"/>
      <c r="G18" s="322"/>
      <c r="H18" s="322"/>
      <c r="I18" s="322"/>
    </row>
    <row r="19">
      <c r="C19" s="332" t="s">
        <v>236</v>
      </c>
      <c r="D19" s="333">
        <f t="shared" ref="D19:F19" si="1">SUM(D13:D18)</f>
        <v>74000</v>
      </c>
      <c r="E19" s="333">
        <f t="shared" si="1"/>
        <v>56000</v>
      </c>
      <c r="F19" s="333">
        <f t="shared" si="1"/>
        <v>56000</v>
      </c>
      <c r="G19" s="328" t="s">
        <v>233</v>
      </c>
      <c r="H19" s="322"/>
      <c r="I19" s="322"/>
    </row>
    <row r="20" ht="10.5" customHeight="1">
      <c r="D20" s="322"/>
      <c r="E20" s="322"/>
      <c r="F20" s="322"/>
      <c r="G20" s="322"/>
      <c r="H20" s="322"/>
      <c r="I20" s="322"/>
    </row>
    <row r="21">
      <c r="B21" s="1"/>
      <c r="D21" s="322"/>
      <c r="E21" s="43"/>
      <c r="F21" s="45"/>
      <c r="G21" s="322"/>
      <c r="H21" s="322"/>
      <c r="I21" s="328"/>
    </row>
    <row r="22">
      <c r="A22" s="334"/>
      <c r="B22" s="497" t="s">
        <v>237</v>
      </c>
      <c r="C22" s="498"/>
      <c r="D22" s="499"/>
      <c r="E22" s="500" t="s">
        <v>238</v>
      </c>
      <c r="F22" s="501" t="s">
        <v>239</v>
      </c>
      <c r="G22" s="322"/>
      <c r="H22" s="322"/>
      <c r="I22" s="340"/>
    </row>
    <row r="23">
      <c r="B23" s="383" t="s">
        <v>240</v>
      </c>
      <c r="C23" s="384"/>
      <c r="D23" s="385"/>
      <c r="E23" s="344"/>
      <c r="F23" s="344"/>
      <c r="G23" s="322"/>
      <c r="H23" s="322"/>
      <c r="I23" s="322"/>
    </row>
    <row r="24">
      <c r="B24" s="345" t="s">
        <v>241</v>
      </c>
      <c r="C24" s="346"/>
      <c r="D24" s="347"/>
      <c r="E24" s="348" t="s">
        <v>242</v>
      </c>
      <c r="F24" s="349" t="s">
        <v>243</v>
      </c>
      <c r="G24" s="322"/>
      <c r="H24" s="322"/>
      <c r="I24" s="322"/>
    </row>
    <row r="25">
      <c r="B25" s="350"/>
      <c r="C25" s="346"/>
      <c r="D25" s="347"/>
      <c r="E25" s="351"/>
      <c r="F25" s="349"/>
      <c r="G25" s="322"/>
      <c r="H25" s="322"/>
      <c r="I25" s="322"/>
    </row>
    <row r="26">
      <c r="B26" s="345"/>
      <c r="C26" s="346"/>
      <c r="D26" s="347"/>
      <c r="E26" s="348"/>
      <c r="F26" s="349"/>
      <c r="G26" s="322"/>
      <c r="H26" s="322"/>
      <c r="I26" s="322"/>
    </row>
    <row r="27">
      <c r="B27" s="345" t="s">
        <v>244</v>
      </c>
      <c r="C27" s="346"/>
      <c r="D27" s="347"/>
      <c r="E27" s="348" t="s">
        <v>245</v>
      </c>
      <c r="F27" s="349" t="s">
        <v>243</v>
      </c>
      <c r="G27" s="322"/>
      <c r="H27" s="322"/>
      <c r="I27" s="322"/>
    </row>
    <row r="28">
      <c r="B28" s="350"/>
      <c r="C28" s="346"/>
      <c r="D28" s="347"/>
      <c r="E28" s="344"/>
      <c r="F28" s="349"/>
      <c r="G28" s="322"/>
      <c r="H28" s="322"/>
      <c r="I28" s="322"/>
    </row>
    <row r="29">
      <c r="B29" s="345"/>
      <c r="C29" s="346"/>
      <c r="D29" s="347"/>
      <c r="E29" s="352"/>
      <c r="F29" s="349"/>
      <c r="G29" s="322"/>
      <c r="H29" s="322"/>
      <c r="I29" s="322"/>
    </row>
    <row r="30">
      <c r="B30" s="345" t="s">
        <v>246</v>
      </c>
      <c r="C30" s="346"/>
      <c r="D30" s="347"/>
      <c r="E30" s="352" t="s">
        <v>247</v>
      </c>
      <c r="F30" s="349" t="s">
        <v>243</v>
      </c>
      <c r="G30" s="322"/>
      <c r="H30" s="322"/>
      <c r="I30" s="322"/>
    </row>
    <row r="31">
      <c r="B31" s="353"/>
      <c r="C31" s="346"/>
      <c r="D31" s="347"/>
      <c r="E31" s="344"/>
      <c r="F31" s="344"/>
      <c r="G31" s="322"/>
      <c r="H31" s="322"/>
      <c r="I31" s="322"/>
    </row>
    <row r="32">
      <c r="B32" s="354" t="s">
        <v>248</v>
      </c>
      <c r="C32" s="355"/>
      <c r="D32" s="356"/>
      <c r="E32" s="357"/>
      <c r="F32" s="357"/>
      <c r="G32" s="322"/>
      <c r="H32" s="322"/>
      <c r="I32" s="322"/>
    </row>
    <row r="33">
      <c r="B33" s="502" t="s">
        <v>249</v>
      </c>
      <c r="C33" s="503"/>
      <c r="D33" s="504"/>
      <c r="E33" s="361"/>
      <c r="F33" s="362"/>
      <c r="G33" s="322"/>
      <c r="H33" s="322"/>
      <c r="I33" s="322"/>
    </row>
    <row r="34">
      <c r="B34" s="466" t="s">
        <v>250</v>
      </c>
      <c r="C34" s="346"/>
      <c r="D34" s="347"/>
      <c r="E34" s="347"/>
      <c r="F34" s="362"/>
      <c r="G34" s="322"/>
      <c r="H34" s="322"/>
      <c r="I34" s="322"/>
    </row>
    <row r="35">
      <c r="B35" s="345" t="s">
        <v>241</v>
      </c>
      <c r="C35" s="346"/>
      <c r="D35" s="347"/>
      <c r="E35" s="366" t="s">
        <v>251</v>
      </c>
      <c r="F35" s="367" t="s">
        <v>252</v>
      </c>
      <c r="G35" s="322"/>
      <c r="H35" s="322"/>
      <c r="I35" s="322"/>
    </row>
    <row r="36">
      <c r="B36" s="350"/>
      <c r="C36" s="346"/>
      <c r="D36" s="347"/>
      <c r="F36" s="362"/>
      <c r="G36" s="322"/>
      <c r="H36" s="322"/>
      <c r="I36" s="322"/>
    </row>
    <row r="37">
      <c r="B37" s="345" t="s">
        <v>244</v>
      </c>
      <c r="C37" s="346"/>
      <c r="D37" s="347"/>
      <c r="F37" s="367" t="s">
        <v>252</v>
      </c>
      <c r="G37" s="322"/>
      <c r="H37" s="322"/>
      <c r="I37" s="322"/>
    </row>
    <row r="38">
      <c r="B38" s="350"/>
      <c r="C38" s="346"/>
      <c r="D38" s="347"/>
      <c r="E38" s="347"/>
      <c r="F38" s="367"/>
      <c r="G38" s="322"/>
      <c r="H38" s="322"/>
      <c r="I38" s="322"/>
    </row>
    <row r="39">
      <c r="B39" s="345"/>
      <c r="C39" s="346"/>
      <c r="D39" s="347"/>
      <c r="E39" s="347"/>
      <c r="F39" s="362"/>
      <c r="G39" s="322"/>
      <c r="H39" s="322"/>
      <c r="I39" s="322"/>
    </row>
    <row r="40">
      <c r="B40" s="345" t="s">
        <v>253</v>
      </c>
      <c r="C40" s="346"/>
      <c r="D40" s="347"/>
      <c r="E40" s="347"/>
      <c r="F40" s="367" t="s">
        <v>252</v>
      </c>
      <c r="G40" s="322"/>
      <c r="H40" s="322"/>
      <c r="I40" s="322"/>
    </row>
    <row r="41">
      <c r="B41" s="350"/>
      <c r="C41" s="346"/>
      <c r="D41" s="347"/>
      <c r="E41" s="347"/>
      <c r="F41" s="362"/>
      <c r="G41" s="322"/>
      <c r="H41" s="322"/>
      <c r="I41" s="322"/>
    </row>
    <row r="42">
      <c r="B42" s="368"/>
      <c r="C42" s="355"/>
      <c r="D42" s="356"/>
      <c r="E42" s="356"/>
      <c r="F42" s="369"/>
      <c r="G42" s="322"/>
      <c r="H42" s="322"/>
      <c r="I42" s="322"/>
    </row>
    <row r="43" ht="5.25" customHeight="1">
      <c r="D43" s="322"/>
      <c r="E43" s="322"/>
      <c r="F43" s="322"/>
      <c r="G43" s="322"/>
      <c r="H43" s="322"/>
      <c r="I43" s="322"/>
    </row>
    <row r="44">
      <c r="B44" s="370" t="s">
        <v>254</v>
      </c>
      <c r="D44" s="322"/>
      <c r="E44" s="322"/>
      <c r="F44" s="322"/>
      <c r="G44" s="322"/>
      <c r="H44" s="322"/>
      <c r="I44" s="322"/>
    </row>
    <row r="45">
      <c r="B45" s="370" t="s">
        <v>255</v>
      </c>
      <c r="D45" s="322"/>
      <c r="E45" s="322"/>
      <c r="F45" s="322"/>
      <c r="G45" s="322"/>
      <c r="H45" s="322"/>
      <c r="I45" s="322"/>
    </row>
    <row r="46">
      <c r="B46" s="371"/>
      <c r="D46" s="322"/>
      <c r="E46" s="322"/>
      <c r="F46" s="322"/>
      <c r="G46" s="322"/>
      <c r="H46" s="322"/>
      <c r="I46" s="322"/>
    </row>
    <row r="47">
      <c r="B47" s="370" t="s">
        <v>256</v>
      </c>
      <c r="D47" s="322"/>
      <c r="E47" s="322"/>
      <c r="F47" s="322"/>
      <c r="G47" s="322"/>
      <c r="H47" s="322"/>
      <c r="I47" s="322"/>
    </row>
    <row r="48">
      <c r="B48" s="371"/>
      <c r="D48" s="322"/>
      <c r="E48" s="322"/>
      <c r="F48" s="322"/>
      <c r="G48" s="322"/>
      <c r="H48" s="322"/>
      <c r="I48" s="322"/>
    </row>
    <row r="49">
      <c r="B49" s="370" t="s">
        <v>257</v>
      </c>
      <c r="D49" s="322"/>
      <c r="E49" s="322"/>
      <c r="F49" s="322"/>
      <c r="G49" s="322"/>
      <c r="H49" s="322"/>
      <c r="I49" s="322"/>
    </row>
    <row r="50">
      <c r="B50" s="370" t="s">
        <v>258</v>
      </c>
      <c r="D50" s="322"/>
      <c r="E50" s="322"/>
      <c r="F50" s="322"/>
      <c r="G50" s="322"/>
      <c r="H50" s="322"/>
      <c r="I50" s="322"/>
    </row>
    <row r="51">
      <c r="B51" s="370" t="s">
        <v>259</v>
      </c>
      <c r="D51" s="322"/>
      <c r="E51" s="322"/>
      <c r="F51" s="322"/>
      <c r="G51" s="322"/>
      <c r="H51" s="322"/>
      <c r="I51" s="322"/>
    </row>
    <row r="52">
      <c r="B52" s="371"/>
      <c r="D52" s="322"/>
      <c r="E52" s="322"/>
      <c r="F52" s="322"/>
      <c r="G52" s="322"/>
      <c r="H52" s="322"/>
      <c r="I52" s="322"/>
    </row>
    <row r="53">
      <c r="B53" s="370" t="s">
        <v>260</v>
      </c>
      <c r="D53" s="322"/>
      <c r="E53" s="322"/>
      <c r="F53" s="322"/>
      <c r="G53" s="322"/>
      <c r="H53" s="322"/>
      <c r="I53" s="322"/>
    </row>
    <row r="54">
      <c r="B54" s="1" t="s">
        <v>261</v>
      </c>
      <c r="D54" s="322"/>
      <c r="E54" s="322"/>
      <c r="F54" s="322"/>
      <c r="G54" s="322"/>
      <c r="H54" s="322"/>
      <c r="I54" s="322"/>
    </row>
    <row r="55">
      <c r="B55" s="1"/>
      <c r="D55" s="322"/>
      <c r="E55" s="322"/>
      <c r="F55" s="322"/>
      <c r="G55" s="322"/>
      <c r="H55" s="322"/>
      <c r="I55" s="322"/>
    </row>
    <row r="56">
      <c r="B56" s="1"/>
      <c r="D56" s="322"/>
      <c r="E56" s="322"/>
      <c r="F56" s="322"/>
      <c r="G56" s="322"/>
      <c r="H56" s="322"/>
      <c r="I56" s="322"/>
    </row>
    <row r="57">
      <c r="B57" s="1"/>
      <c r="D57" s="322"/>
      <c r="E57" s="322"/>
      <c r="F57" s="322"/>
      <c r="G57" s="322"/>
      <c r="H57" s="322"/>
      <c r="I57" s="322"/>
    </row>
    <row r="58">
      <c r="B58" s="1"/>
      <c r="D58" s="322"/>
      <c r="E58" s="322"/>
      <c r="F58" s="322"/>
      <c r="G58" s="322"/>
      <c r="H58" s="322"/>
      <c r="I58" s="322"/>
    </row>
    <row r="59">
      <c r="B59" s="1"/>
      <c r="D59" s="322"/>
      <c r="E59" s="322"/>
      <c r="F59" s="322"/>
      <c r="G59" s="322"/>
      <c r="H59" s="322"/>
      <c r="I59" s="322"/>
    </row>
    <row r="60">
      <c r="B60" s="317"/>
      <c r="C60" s="317"/>
      <c r="D60" s="317"/>
      <c r="E60" s="317"/>
      <c r="F60" s="317"/>
      <c r="G60" s="317"/>
      <c r="H60" s="317"/>
      <c r="I60" s="322"/>
    </row>
    <row r="61">
      <c r="B61" s="317"/>
      <c r="C61" s="317"/>
      <c r="D61" s="317"/>
      <c r="E61" s="317"/>
      <c r="F61" s="317"/>
      <c r="G61" s="317"/>
      <c r="H61" s="317"/>
      <c r="I61" s="322"/>
    </row>
    <row r="62">
      <c r="B62" s="317"/>
      <c r="C62" s="317"/>
      <c r="D62" s="317"/>
      <c r="E62" s="317"/>
      <c r="F62" s="317"/>
      <c r="G62" s="317"/>
      <c r="H62" s="317"/>
      <c r="I62" s="322"/>
    </row>
    <row r="63">
      <c r="B63" s="317"/>
      <c r="C63" s="317"/>
      <c r="D63" s="317"/>
      <c r="E63" s="317"/>
      <c r="F63" s="317"/>
      <c r="G63" s="317"/>
      <c r="H63" s="317"/>
      <c r="I63" s="322"/>
    </row>
    <row r="64">
      <c r="B64" s="317"/>
      <c r="C64" s="317"/>
      <c r="D64" s="317"/>
      <c r="E64" s="317"/>
      <c r="F64" s="317"/>
      <c r="G64" s="317"/>
      <c r="H64" s="317"/>
      <c r="I64" s="322"/>
    </row>
    <row r="65">
      <c r="B65" s="318"/>
      <c r="C65" s="318"/>
      <c r="D65" s="318"/>
      <c r="E65" s="318"/>
      <c r="F65" s="318"/>
      <c r="G65" s="318"/>
      <c r="H65" s="318"/>
      <c r="I65" s="322"/>
    </row>
    <row r="66">
      <c r="A66" s="372" t="s">
        <v>262</v>
      </c>
      <c r="I66" s="322"/>
    </row>
    <row r="67">
      <c r="A67" s="318" t="s">
        <v>263</v>
      </c>
      <c r="I67" s="322"/>
    </row>
    <row r="68">
      <c r="A68" s="318" t="s">
        <v>264</v>
      </c>
      <c r="I68" s="322"/>
    </row>
    <row r="69">
      <c r="B69" s="373"/>
      <c r="C69" s="321"/>
      <c r="D69" s="322"/>
      <c r="E69" s="322"/>
      <c r="F69" s="322"/>
      <c r="G69" s="322"/>
      <c r="H69" s="322"/>
      <c r="I69" s="322"/>
    </row>
    <row r="70">
      <c r="B70" s="373"/>
      <c r="C70" s="321"/>
      <c r="D70" s="322"/>
      <c r="E70" s="322"/>
      <c r="F70" s="322"/>
      <c r="G70" s="322"/>
      <c r="H70" s="322"/>
      <c r="I70" s="322"/>
    </row>
    <row r="71">
      <c r="D71" s="374" t="s">
        <v>265</v>
      </c>
      <c r="G71" s="322"/>
      <c r="H71" s="322"/>
      <c r="I71" s="322"/>
    </row>
    <row r="72">
      <c r="B72" s="373" t="s">
        <v>266</v>
      </c>
      <c r="D72" s="375" t="s">
        <v>267</v>
      </c>
      <c r="E72" s="376" t="s">
        <v>268</v>
      </c>
      <c r="F72" s="377" t="s">
        <v>269</v>
      </c>
      <c r="G72" s="322"/>
      <c r="H72" s="322"/>
      <c r="I72" s="322"/>
    </row>
    <row r="73">
      <c r="B73" s="1" t="s">
        <v>270</v>
      </c>
      <c r="D73" s="330">
        <f t="shared" ref="D73:F73" si="2">D13</f>
        <v>42000</v>
      </c>
      <c r="E73" s="330">
        <f t="shared" si="2"/>
        <v>42000</v>
      </c>
      <c r="F73" s="330">
        <f t="shared" si="2"/>
        <v>42000</v>
      </c>
      <c r="G73" s="328" t="s">
        <v>170</v>
      </c>
      <c r="H73" s="322"/>
      <c r="I73" s="322"/>
    </row>
    <row r="74">
      <c r="B74" s="329"/>
      <c r="D74" s="330"/>
      <c r="E74" s="330"/>
      <c r="G74" s="322"/>
      <c r="H74" s="322"/>
      <c r="I74" s="322"/>
    </row>
    <row r="75">
      <c r="B75" s="1" t="s">
        <v>271</v>
      </c>
      <c r="D75" s="330">
        <f t="shared" ref="D75:F75" si="3">D15</f>
        <v>14000</v>
      </c>
      <c r="E75" s="330">
        <f t="shared" si="3"/>
        <v>14000</v>
      </c>
      <c r="F75" s="330">
        <f t="shared" si="3"/>
        <v>14000</v>
      </c>
      <c r="G75" s="328" t="s">
        <v>170</v>
      </c>
      <c r="H75" s="322"/>
      <c r="I75" s="322"/>
    </row>
    <row r="76">
      <c r="B76" s="329"/>
      <c r="D76" s="330"/>
      <c r="E76" s="330"/>
      <c r="G76" s="322"/>
      <c r="H76" s="322"/>
      <c r="I76" s="322"/>
    </row>
    <row r="77">
      <c r="B77" s="1" t="s">
        <v>272</v>
      </c>
      <c r="D77" s="330">
        <f t="shared" ref="D77:F77" si="4">D17</f>
        <v>18000</v>
      </c>
      <c r="E77" s="330" t="str">
        <f t="shared" si="4"/>
        <v/>
      </c>
      <c r="F77" s="330" t="str">
        <f t="shared" si="4"/>
        <v/>
      </c>
      <c r="G77" s="328" t="s">
        <v>170</v>
      </c>
      <c r="H77" s="322"/>
      <c r="I77" s="322"/>
    </row>
    <row r="78">
      <c r="B78" s="329"/>
      <c r="D78" s="331"/>
      <c r="E78" s="331"/>
      <c r="G78" s="322"/>
      <c r="H78" s="322"/>
      <c r="I78" s="322"/>
    </row>
    <row r="79">
      <c r="C79" s="378" t="s">
        <v>273</v>
      </c>
      <c r="D79" s="331">
        <f t="shared" ref="D79:F79" si="5">SUM(D73:D77)</f>
        <v>74000</v>
      </c>
      <c r="E79" s="331">
        <f t="shared" si="5"/>
        <v>56000</v>
      </c>
      <c r="F79" s="331">
        <f t="shared" si="5"/>
        <v>56000</v>
      </c>
      <c r="G79" s="328" t="s">
        <v>170</v>
      </c>
      <c r="H79" s="322"/>
      <c r="I79" s="322"/>
    </row>
    <row r="80">
      <c r="D80" s="322"/>
      <c r="E80" s="322"/>
      <c r="F80" s="322"/>
      <c r="G80" s="322"/>
      <c r="H80" s="322"/>
      <c r="I80" s="322"/>
    </row>
    <row r="81">
      <c r="B81" s="1"/>
      <c r="D81" s="322"/>
      <c r="E81" s="43"/>
      <c r="F81" s="45"/>
      <c r="G81" s="322"/>
      <c r="H81" s="322"/>
      <c r="I81" s="322"/>
    </row>
    <row r="82">
      <c r="B82" s="379" t="s">
        <v>274</v>
      </c>
      <c r="C82" s="380"/>
      <c r="D82" s="381"/>
      <c r="E82" s="382" t="s">
        <v>275</v>
      </c>
      <c r="F82" s="382" t="s">
        <v>276</v>
      </c>
      <c r="G82" s="322"/>
      <c r="H82" s="322"/>
      <c r="I82" s="322"/>
    </row>
    <row r="83">
      <c r="B83" s="383" t="s">
        <v>277</v>
      </c>
      <c r="C83" s="384"/>
      <c r="D83" s="385"/>
      <c r="E83" s="344"/>
      <c r="F83" s="344"/>
      <c r="G83" s="322"/>
      <c r="H83" s="322"/>
      <c r="I83" s="322"/>
    </row>
    <row r="84">
      <c r="B84" s="345" t="s">
        <v>278</v>
      </c>
      <c r="C84" s="346"/>
      <c r="D84" s="347"/>
      <c r="E84" s="348" t="s">
        <v>242</v>
      </c>
      <c r="F84" s="349" t="s">
        <v>243</v>
      </c>
      <c r="G84" s="322"/>
      <c r="H84" s="322"/>
      <c r="I84" s="322"/>
    </row>
    <row r="85">
      <c r="B85" s="350"/>
      <c r="C85" s="346"/>
      <c r="D85" s="347"/>
      <c r="E85" s="351"/>
      <c r="F85" s="349"/>
      <c r="G85" s="322"/>
      <c r="H85" s="322"/>
      <c r="I85" s="322"/>
    </row>
    <row r="86">
      <c r="B86" s="345"/>
      <c r="C86" s="346"/>
      <c r="D86" s="347"/>
      <c r="E86" s="348"/>
      <c r="F86" s="349"/>
      <c r="G86" s="322"/>
      <c r="H86" s="322"/>
      <c r="I86" s="322"/>
    </row>
    <row r="87">
      <c r="B87" s="345" t="s">
        <v>279</v>
      </c>
      <c r="C87" s="346"/>
      <c r="D87" s="347"/>
      <c r="E87" s="348" t="s">
        <v>245</v>
      </c>
      <c r="F87" s="349" t="s">
        <v>243</v>
      </c>
      <c r="G87" s="322"/>
      <c r="H87" s="322"/>
      <c r="I87" s="322"/>
    </row>
    <row r="88">
      <c r="B88" s="350"/>
      <c r="C88" s="346"/>
      <c r="D88" s="347"/>
      <c r="E88" s="344"/>
      <c r="F88" s="349"/>
      <c r="G88" s="322"/>
      <c r="H88" s="322"/>
      <c r="I88" s="322"/>
    </row>
    <row r="89">
      <c r="B89" s="345"/>
      <c r="C89" s="346"/>
      <c r="D89" s="347"/>
      <c r="E89" s="352"/>
      <c r="F89" s="349"/>
      <c r="G89" s="322"/>
      <c r="H89" s="322"/>
      <c r="I89" s="322"/>
    </row>
    <row r="90">
      <c r="B90" s="345" t="s">
        <v>280</v>
      </c>
      <c r="C90" s="346"/>
      <c r="D90" s="347"/>
      <c r="E90" s="352" t="s">
        <v>247</v>
      </c>
      <c r="F90" s="349" t="s">
        <v>243</v>
      </c>
      <c r="G90" s="322"/>
      <c r="H90" s="322"/>
      <c r="I90" s="322"/>
    </row>
    <row r="91">
      <c r="B91" s="353"/>
      <c r="C91" s="346"/>
      <c r="D91" s="347"/>
      <c r="E91" s="344"/>
      <c r="F91" s="344"/>
      <c r="G91" s="322"/>
      <c r="H91" s="322"/>
      <c r="I91" s="322"/>
    </row>
    <row r="92">
      <c r="B92" s="354" t="s">
        <v>248</v>
      </c>
      <c r="C92" s="355"/>
      <c r="D92" s="356"/>
      <c r="E92" s="357"/>
      <c r="F92" s="357"/>
      <c r="G92" s="322"/>
      <c r="H92" s="322"/>
      <c r="I92" s="322"/>
    </row>
    <row r="93">
      <c r="B93" s="386" t="s">
        <v>281</v>
      </c>
      <c r="C93" s="384"/>
      <c r="D93" s="385"/>
      <c r="E93" s="361"/>
      <c r="F93" s="361"/>
      <c r="G93" s="322"/>
      <c r="H93" s="322"/>
      <c r="I93" s="322"/>
    </row>
    <row r="94">
      <c r="B94" s="345" t="s">
        <v>278</v>
      </c>
      <c r="C94" s="346"/>
      <c r="D94" s="347"/>
      <c r="E94" s="387" t="s">
        <v>251</v>
      </c>
      <c r="F94" s="361" t="s">
        <v>282</v>
      </c>
      <c r="G94" s="322"/>
      <c r="H94" s="322"/>
      <c r="I94" s="322"/>
    </row>
    <row r="95">
      <c r="B95" s="350"/>
      <c r="D95" s="346"/>
      <c r="E95" s="19"/>
      <c r="F95" s="361"/>
      <c r="G95" s="322"/>
      <c r="H95" s="322"/>
      <c r="I95" s="322"/>
    </row>
    <row r="96">
      <c r="B96" s="345" t="s">
        <v>279</v>
      </c>
      <c r="C96" s="346"/>
      <c r="D96" s="347"/>
      <c r="E96" s="21"/>
      <c r="F96" s="361" t="s">
        <v>282</v>
      </c>
      <c r="G96" s="322"/>
      <c r="H96" s="322"/>
      <c r="I96" s="322"/>
    </row>
    <row r="97">
      <c r="B97" s="350"/>
      <c r="C97" s="346"/>
      <c r="D97" s="347"/>
      <c r="E97" s="361"/>
      <c r="F97" s="388"/>
      <c r="G97" s="322"/>
      <c r="H97" s="322"/>
      <c r="I97" s="322"/>
    </row>
    <row r="98">
      <c r="B98" s="345"/>
      <c r="C98" s="346"/>
      <c r="D98" s="347"/>
      <c r="E98" s="361"/>
      <c r="F98" s="361"/>
      <c r="G98" s="322"/>
      <c r="H98" s="322"/>
      <c r="I98" s="322"/>
    </row>
    <row r="99">
      <c r="B99" s="389" t="s">
        <v>283</v>
      </c>
      <c r="C99" s="346"/>
      <c r="D99" s="347"/>
      <c r="E99" s="361"/>
      <c r="F99" s="361" t="s">
        <v>282</v>
      </c>
      <c r="G99" s="322"/>
      <c r="H99" s="322"/>
      <c r="I99" s="322"/>
    </row>
    <row r="100">
      <c r="B100" s="350"/>
      <c r="C100" s="346"/>
      <c r="D100" s="347"/>
      <c r="E100" s="361"/>
      <c r="F100" s="361"/>
      <c r="G100" s="322"/>
      <c r="H100" s="322"/>
      <c r="I100" s="322"/>
    </row>
    <row r="101">
      <c r="B101" s="368"/>
      <c r="C101" s="355"/>
      <c r="D101" s="356"/>
      <c r="E101" s="369"/>
      <c r="F101" s="369"/>
      <c r="G101" s="322"/>
      <c r="H101" s="322"/>
      <c r="I101" s="322"/>
    </row>
    <row r="102">
      <c r="D102" s="322"/>
      <c r="E102" s="322"/>
      <c r="F102" s="322"/>
      <c r="G102" s="322"/>
      <c r="H102" s="322"/>
      <c r="I102" s="322"/>
    </row>
    <row r="103">
      <c r="B103" s="370" t="s">
        <v>254</v>
      </c>
      <c r="D103" s="322"/>
      <c r="E103" s="322"/>
      <c r="F103" s="322"/>
      <c r="G103" s="322"/>
      <c r="H103" s="322"/>
      <c r="I103" s="322"/>
    </row>
    <row r="104">
      <c r="B104" s="370" t="s">
        <v>255</v>
      </c>
      <c r="D104" s="322"/>
      <c r="E104" s="322"/>
      <c r="F104" s="322"/>
      <c r="G104" s="322"/>
      <c r="H104" s="322"/>
      <c r="I104" s="322"/>
    </row>
    <row r="105">
      <c r="B105" s="371"/>
      <c r="D105" s="322"/>
      <c r="E105" s="322"/>
      <c r="F105" s="322"/>
      <c r="G105" s="322"/>
      <c r="H105" s="322"/>
      <c r="I105" s="322"/>
    </row>
    <row r="106">
      <c r="B106" s="370" t="s">
        <v>256</v>
      </c>
      <c r="D106" s="322"/>
      <c r="E106" s="322"/>
      <c r="F106" s="322"/>
      <c r="G106" s="322"/>
      <c r="H106" s="322"/>
      <c r="I106" s="322"/>
    </row>
    <row r="107">
      <c r="B107" s="371"/>
      <c r="D107" s="322"/>
      <c r="E107" s="322"/>
      <c r="F107" s="322"/>
      <c r="G107" s="322"/>
      <c r="H107" s="322"/>
      <c r="I107" s="322"/>
    </row>
    <row r="108">
      <c r="B108" s="370" t="s">
        <v>257</v>
      </c>
      <c r="D108" s="322"/>
      <c r="E108" s="322"/>
      <c r="F108" s="322"/>
      <c r="G108" s="322"/>
      <c r="H108" s="322"/>
      <c r="I108" s="322"/>
    </row>
    <row r="109">
      <c r="B109" s="370" t="s">
        <v>258</v>
      </c>
      <c r="D109" s="322"/>
      <c r="E109" s="322"/>
      <c r="F109" s="322"/>
      <c r="G109" s="322"/>
      <c r="H109" s="322"/>
      <c r="I109" s="322"/>
    </row>
    <row r="110">
      <c r="B110" s="370" t="s">
        <v>259</v>
      </c>
      <c r="D110" s="322"/>
      <c r="E110" s="322"/>
      <c r="F110" s="322"/>
      <c r="G110" s="322"/>
      <c r="H110" s="322"/>
      <c r="I110" s="322"/>
    </row>
    <row r="111">
      <c r="B111" s="371"/>
      <c r="D111" s="322"/>
      <c r="E111" s="322"/>
      <c r="F111" s="322"/>
      <c r="G111" s="322"/>
      <c r="H111" s="322"/>
      <c r="I111" s="322"/>
    </row>
    <row r="112">
      <c r="B112" s="370" t="s">
        <v>260</v>
      </c>
      <c r="D112" s="322"/>
      <c r="E112" s="322"/>
      <c r="F112" s="322"/>
      <c r="G112" s="322"/>
      <c r="H112" s="322"/>
      <c r="I112" s="322"/>
    </row>
    <row r="113">
      <c r="B113" s="1" t="s">
        <v>261</v>
      </c>
      <c r="D113" s="322"/>
      <c r="E113" s="322"/>
      <c r="F113" s="322"/>
      <c r="G113" s="322"/>
      <c r="H113" s="322"/>
      <c r="I113" s="322"/>
    </row>
    <row r="114">
      <c r="B114" s="1"/>
      <c r="D114" s="322"/>
      <c r="E114" s="322"/>
      <c r="F114" s="322"/>
      <c r="G114" s="322"/>
      <c r="H114" s="322"/>
      <c r="I114" s="322"/>
    </row>
  </sheetData>
  <mergeCells count="12">
    <mergeCell ref="A67:H67"/>
    <mergeCell ref="A68:H68"/>
    <mergeCell ref="D71:F71"/>
    <mergeCell ref="E81:F81"/>
    <mergeCell ref="E94:E96"/>
    <mergeCell ref="A6:H6"/>
    <mergeCell ref="A7:H7"/>
    <mergeCell ref="A8:H8"/>
    <mergeCell ref="D11:F11"/>
    <mergeCell ref="E21:F21"/>
    <mergeCell ref="E35:E37"/>
    <mergeCell ref="A66:H66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6" width="14.43"/>
    <col customWidth="1" min="7" max="7" width="2.14"/>
  </cols>
  <sheetData>
    <row r="1">
      <c r="B1" s="472" t="s">
        <v>413</v>
      </c>
      <c r="C1" s="473"/>
      <c r="D1" s="473"/>
      <c r="E1" s="473"/>
      <c r="F1" s="473"/>
      <c r="G1" s="54"/>
    </row>
    <row r="2">
      <c r="D2" s="322"/>
      <c r="E2" s="322"/>
      <c r="F2" s="322"/>
      <c r="G2" s="322"/>
    </row>
    <row r="3">
      <c r="D3" s="322"/>
      <c r="E3" s="322"/>
      <c r="F3" s="322"/>
      <c r="G3" s="322"/>
    </row>
    <row r="4">
      <c r="A4" s="452"/>
      <c r="B4" s="474" t="s">
        <v>358</v>
      </c>
      <c r="C4" s="475"/>
      <c r="D4" s="545" t="s">
        <v>162</v>
      </c>
      <c r="E4" s="545" t="s">
        <v>163</v>
      </c>
      <c r="F4" s="545" t="s">
        <v>164</v>
      </c>
      <c r="G4" s="546"/>
    </row>
    <row r="5">
      <c r="B5" s="477" t="s">
        <v>363</v>
      </c>
      <c r="C5" s="478" t="s">
        <v>414</v>
      </c>
      <c r="D5" s="547" t="s">
        <v>415</v>
      </c>
      <c r="E5" s="548"/>
      <c r="F5" s="547" t="s">
        <v>416</v>
      </c>
      <c r="G5" s="328"/>
    </row>
    <row r="6">
      <c r="B6" s="256"/>
      <c r="C6" s="47" t="s">
        <v>366</v>
      </c>
      <c r="D6" s="549" t="s">
        <v>367</v>
      </c>
      <c r="E6" s="550"/>
      <c r="F6" s="549" t="s">
        <v>367</v>
      </c>
      <c r="G6" s="328"/>
    </row>
    <row r="7">
      <c r="B7" s="256"/>
      <c r="C7" s="481" t="s">
        <v>417</v>
      </c>
      <c r="D7" s="551">
        <v>4.0</v>
      </c>
      <c r="E7" s="552"/>
      <c r="F7" s="551">
        <v>4.0</v>
      </c>
      <c r="G7" s="328"/>
    </row>
    <row r="8">
      <c r="B8" s="483"/>
      <c r="C8" s="484" t="s">
        <v>370</v>
      </c>
      <c r="D8" s="553" t="s">
        <v>418</v>
      </c>
      <c r="E8" s="552"/>
      <c r="F8" s="553" t="s">
        <v>419</v>
      </c>
      <c r="G8" s="328"/>
    </row>
    <row r="9">
      <c r="B9" s="486" t="s">
        <v>371</v>
      </c>
      <c r="C9" s="478" t="s">
        <v>414</v>
      </c>
      <c r="D9" s="487"/>
      <c r="E9" s="554"/>
      <c r="F9" s="554"/>
      <c r="G9" s="1"/>
    </row>
    <row r="10">
      <c r="B10" s="256"/>
      <c r="C10" s="47" t="s">
        <v>366</v>
      </c>
      <c r="D10" s="268"/>
      <c r="E10" s="555"/>
      <c r="F10" s="555"/>
      <c r="G10" s="1"/>
    </row>
    <row r="11">
      <c r="B11" s="256"/>
      <c r="C11" s="481" t="s">
        <v>417</v>
      </c>
      <c r="D11" s="488"/>
      <c r="E11" s="556"/>
      <c r="F11" s="556"/>
      <c r="G11" s="1"/>
    </row>
    <row r="12">
      <c r="B12" s="483"/>
      <c r="C12" s="484" t="s">
        <v>370</v>
      </c>
      <c r="D12" s="489"/>
      <c r="E12" s="557"/>
      <c r="F12" s="557"/>
      <c r="G12" s="1"/>
    </row>
    <row r="13">
      <c r="B13" s="486" t="s">
        <v>372</v>
      </c>
      <c r="C13" s="478" t="s">
        <v>414</v>
      </c>
      <c r="D13" s="490"/>
      <c r="E13" s="548"/>
      <c r="F13" s="548"/>
    </row>
    <row r="14">
      <c r="B14" s="256"/>
      <c r="C14" s="47" t="s">
        <v>366</v>
      </c>
      <c r="D14" s="491"/>
      <c r="E14" s="550"/>
      <c r="F14" s="550"/>
    </row>
    <row r="15">
      <c r="B15" s="256"/>
      <c r="C15" s="481" t="s">
        <v>417</v>
      </c>
      <c r="D15" s="492"/>
      <c r="E15" s="552"/>
      <c r="F15" s="552"/>
    </row>
    <row r="16">
      <c r="B16" s="483"/>
      <c r="C16" s="484" t="s">
        <v>370</v>
      </c>
      <c r="D16" s="493"/>
      <c r="E16" s="558"/>
      <c r="F16" s="558"/>
    </row>
    <row r="17">
      <c r="B17" s="486" t="s">
        <v>373</v>
      </c>
      <c r="C17" s="478" t="s">
        <v>414</v>
      </c>
      <c r="D17" s="487"/>
      <c r="E17" s="547" t="s">
        <v>420</v>
      </c>
      <c r="F17" s="547" t="s">
        <v>421</v>
      </c>
      <c r="G17" s="328"/>
    </row>
    <row r="18">
      <c r="B18" s="256"/>
      <c r="C18" s="47" t="s">
        <v>366</v>
      </c>
      <c r="D18" s="268"/>
      <c r="E18" s="549" t="s">
        <v>418</v>
      </c>
      <c r="F18" s="549" t="s">
        <v>418</v>
      </c>
      <c r="G18" s="328"/>
    </row>
    <row r="19">
      <c r="B19" s="256"/>
      <c r="C19" s="481" t="s">
        <v>417</v>
      </c>
      <c r="D19" s="488"/>
      <c r="E19" s="551">
        <v>7.0</v>
      </c>
      <c r="F19" s="551">
        <v>7.0</v>
      </c>
      <c r="G19" s="328"/>
    </row>
    <row r="20">
      <c r="B20" s="483"/>
      <c r="C20" s="484" t="s">
        <v>370</v>
      </c>
      <c r="D20" s="489"/>
      <c r="E20" s="553" t="s">
        <v>422</v>
      </c>
      <c r="F20" s="553" t="s">
        <v>422</v>
      </c>
      <c r="G20" s="328"/>
    </row>
    <row r="21">
      <c r="B21" s="486" t="s">
        <v>374</v>
      </c>
      <c r="C21" s="478" t="s">
        <v>414</v>
      </c>
      <c r="D21" s="487"/>
      <c r="E21" s="554"/>
      <c r="F21" s="554"/>
      <c r="G21" s="1"/>
    </row>
    <row r="22">
      <c r="B22" s="256"/>
      <c r="C22" s="47" t="s">
        <v>366</v>
      </c>
      <c r="D22" s="268"/>
      <c r="E22" s="555"/>
      <c r="F22" s="555"/>
      <c r="G22" s="1"/>
    </row>
    <row r="23">
      <c r="B23" s="256"/>
      <c r="C23" s="481" t="s">
        <v>417</v>
      </c>
      <c r="D23" s="488"/>
      <c r="E23" s="556"/>
      <c r="F23" s="556"/>
      <c r="G23" s="1"/>
    </row>
    <row r="24">
      <c r="B24" s="483"/>
      <c r="C24" s="484" t="s">
        <v>370</v>
      </c>
      <c r="D24" s="489"/>
      <c r="E24" s="557"/>
      <c r="F24" s="557"/>
      <c r="G24" s="1"/>
    </row>
    <row r="25">
      <c r="B25" s="486" t="s">
        <v>375</v>
      </c>
      <c r="C25" s="478" t="s">
        <v>414</v>
      </c>
      <c r="D25" s="494"/>
      <c r="E25" s="547" t="s">
        <v>423</v>
      </c>
      <c r="F25" s="547" t="s">
        <v>424</v>
      </c>
      <c r="G25" s="328"/>
    </row>
    <row r="26">
      <c r="B26" s="256"/>
      <c r="C26" s="47" t="s">
        <v>366</v>
      </c>
      <c r="D26" s="491"/>
      <c r="E26" s="549" t="s">
        <v>425</v>
      </c>
      <c r="F26" s="549" t="s">
        <v>425</v>
      </c>
      <c r="G26" s="328"/>
    </row>
    <row r="27">
      <c r="B27" s="256"/>
      <c r="C27" s="481" t="s">
        <v>417</v>
      </c>
      <c r="D27" s="492"/>
      <c r="E27" s="551">
        <v>5.0</v>
      </c>
      <c r="F27" s="551">
        <v>5.0</v>
      </c>
      <c r="G27" s="328"/>
    </row>
    <row r="28">
      <c r="B28" s="483"/>
      <c r="C28" s="484" t="s">
        <v>370</v>
      </c>
      <c r="D28" s="493"/>
      <c r="E28" s="553" t="s">
        <v>422</v>
      </c>
      <c r="F28" s="553" t="s">
        <v>422</v>
      </c>
      <c r="G28" s="328"/>
    </row>
    <row r="29">
      <c r="B29" s="486" t="s">
        <v>376</v>
      </c>
      <c r="C29" s="478" t="s">
        <v>414</v>
      </c>
      <c r="D29" s="494"/>
      <c r="E29" s="559"/>
      <c r="F29" s="559"/>
    </row>
    <row r="30">
      <c r="B30" s="256"/>
      <c r="C30" s="47" t="s">
        <v>366</v>
      </c>
      <c r="D30" s="491"/>
      <c r="E30" s="550"/>
      <c r="F30" s="550"/>
    </row>
    <row r="31">
      <c r="B31" s="256"/>
      <c r="C31" s="481" t="s">
        <v>417</v>
      </c>
      <c r="D31" s="492"/>
      <c r="E31" s="552"/>
      <c r="F31" s="552"/>
    </row>
    <row r="32">
      <c r="B32" s="483"/>
      <c r="C32" s="484" t="s">
        <v>370</v>
      </c>
      <c r="D32" s="493"/>
      <c r="E32" s="558"/>
      <c r="F32" s="558"/>
    </row>
    <row r="33">
      <c r="D33" s="322"/>
      <c r="E33" s="322"/>
      <c r="F33" s="322"/>
      <c r="G33" s="322"/>
    </row>
    <row r="34">
      <c r="D34" s="322"/>
      <c r="E34" s="322"/>
      <c r="F34" s="322"/>
      <c r="G34" s="322"/>
    </row>
  </sheetData>
  <mergeCells count="8">
    <mergeCell ref="B4:C4"/>
    <mergeCell ref="B5:B8"/>
    <mergeCell ref="B9:B12"/>
    <mergeCell ref="B13:B16"/>
    <mergeCell ref="B17:B20"/>
    <mergeCell ref="B21:B24"/>
    <mergeCell ref="B25:B28"/>
    <mergeCell ref="B29:B32"/>
  </mergeCells>
  <printOptions gridLines="1" horizontalCentered="1"/>
  <pageMargins bottom="0.17112996709822662" footer="0.0" header="0.0" left="0.06417373766183497" right="0.032086868830917485" top="1.0588666714202772"/>
  <pageSetup fitToHeight="0" paperSize="9" cellComments="atEnd" orientation="portrait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1.71"/>
    <col customWidth="1" min="4" max="17" width="10.14"/>
    <col customWidth="1" min="18" max="18" width="11.29"/>
    <col customWidth="1" min="19" max="23" width="10.14"/>
  </cols>
  <sheetData>
    <row r="1">
      <c r="B1" s="472" t="s">
        <v>426</v>
      </c>
      <c r="C1" s="473"/>
      <c r="D1" s="473"/>
      <c r="E1" s="560"/>
      <c r="F1" s="560"/>
      <c r="G1" s="560"/>
      <c r="H1" s="560"/>
      <c r="I1" s="560"/>
      <c r="J1" s="560"/>
      <c r="K1" s="560"/>
      <c r="L1" s="560"/>
      <c r="M1" s="560"/>
      <c r="N1" s="560"/>
      <c r="O1" s="560"/>
      <c r="P1" s="560"/>
      <c r="Q1" s="560"/>
      <c r="R1" s="560"/>
      <c r="S1" s="560"/>
      <c r="T1" s="560"/>
      <c r="U1" s="560"/>
      <c r="V1" s="560"/>
      <c r="W1" s="560"/>
    </row>
    <row r="2">
      <c r="D2" s="322"/>
      <c r="E2" s="561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  <c r="R2" s="562"/>
      <c r="S2" s="562"/>
      <c r="T2" s="562"/>
      <c r="U2" s="562"/>
      <c r="V2" s="562"/>
      <c r="W2" s="562"/>
    </row>
    <row r="3">
      <c r="D3" s="322"/>
      <c r="E3" s="561"/>
      <c r="F3" s="562"/>
      <c r="G3" s="562"/>
      <c r="H3" s="562"/>
      <c r="I3" s="562"/>
      <c r="J3" s="562"/>
      <c r="K3" s="562"/>
      <c r="L3" s="562"/>
      <c r="M3" s="562"/>
      <c r="N3" s="562"/>
      <c r="O3" s="562"/>
      <c r="P3" s="562"/>
      <c r="Q3" s="562"/>
      <c r="R3" s="562"/>
      <c r="S3" s="562"/>
      <c r="T3" s="562"/>
      <c r="U3" s="562"/>
      <c r="V3" s="562"/>
      <c r="W3" s="562"/>
    </row>
    <row r="4">
      <c r="A4" s="452"/>
      <c r="B4" s="474" t="s">
        <v>358</v>
      </c>
      <c r="C4" s="475"/>
      <c r="D4" s="563" t="s">
        <v>427</v>
      </c>
      <c r="E4" s="564" t="s">
        <v>428</v>
      </c>
      <c r="F4" s="245"/>
      <c r="G4" s="565" t="s">
        <v>429</v>
      </c>
      <c r="H4" s="566" t="s">
        <v>430</v>
      </c>
      <c r="I4" s="566" t="s">
        <v>431</v>
      </c>
      <c r="J4" s="567" t="s">
        <v>432</v>
      </c>
      <c r="K4" s="564" t="s">
        <v>433</v>
      </c>
      <c r="L4" s="245"/>
      <c r="M4" s="568" t="s">
        <v>434</v>
      </c>
      <c r="N4" s="564" t="s">
        <v>435</v>
      </c>
      <c r="O4" s="244"/>
      <c r="P4" s="245"/>
      <c r="Q4" s="569" t="s">
        <v>436</v>
      </c>
      <c r="R4" s="245"/>
      <c r="S4" s="564" t="s">
        <v>437</v>
      </c>
      <c r="T4" s="245"/>
      <c r="U4" s="570" t="s">
        <v>438</v>
      </c>
      <c r="V4" s="564" t="s">
        <v>439</v>
      </c>
      <c r="W4" s="245"/>
    </row>
    <row r="5">
      <c r="B5" s="477" t="s">
        <v>363</v>
      </c>
      <c r="C5" s="478" t="s">
        <v>414</v>
      </c>
      <c r="D5" s="571"/>
      <c r="E5" s="572"/>
      <c r="F5" s="573"/>
      <c r="G5" s="574"/>
      <c r="H5" s="575"/>
      <c r="I5" s="576" t="s">
        <v>440</v>
      </c>
      <c r="J5" s="577" t="s">
        <v>440</v>
      </c>
      <c r="K5" s="578"/>
      <c r="L5" s="579"/>
      <c r="M5" s="580" t="s">
        <v>441</v>
      </c>
      <c r="N5" s="578"/>
      <c r="O5" s="575"/>
      <c r="P5" s="573"/>
      <c r="Q5" s="578"/>
      <c r="R5" s="581"/>
      <c r="S5" s="578"/>
      <c r="T5" s="573"/>
      <c r="U5" s="582" t="s">
        <v>440</v>
      </c>
      <c r="V5" s="578"/>
      <c r="W5" s="573"/>
    </row>
    <row r="6">
      <c r="B6" s="256"/>
      <c r="C6" s="47" t="s">
        <v>366</v>
      </c>
      <c r="D6" s="583"/>
      <c r="E6" s="584"/>
      <c r="F6" s="585"/>
      <c r="G6" s="586"/>
      <c r="H6" s="587"/>
      <c r="I6" s="588" t="s">
        <v>367</v>
      </c>
      <c r="J6" s="589" t="s">
        <v>367</v>
      </c>
      <c r="K6" s="590"/>
      <c r="L6" s="585"/>
      <c r="M6" s="591" t="s">
        <v>367</v>
      </c>
      <c r="N6" s="590"/>
      <c r="O6" s="587"/>
      <c r="P6" s="585"/>
      <c r="Q6" s="590"/>
      <c r="R6" s="592"/>
      <c r="S6" s="590"/>
      <c r="T6" s="585"/>
      <c r="U6" s="593" t="s">
        <v>367</v>
      </c>
      <c r="V6" s="590"/>
      <c r="W6" s="585"/>
    </row>
    <row r="7">
      <c r="B7" s="256"/>
      <c r="C7" s="481" t="s">
        <v>417</v>
      </c>
      <c r="D7" s="594"/>
      <c r="E7" s="595"/>
      <c r="F7" s="596"/>
      <c r="G7" s="597"/>
      <c r="H7" s="598"/>
      <c r="I7" s="599">
        <v>5.0</v>
      </c>
      <c r="J7" s="600">
        <v>5.0</v>
      </c>
      <c r="K7" s="601"/>
      <c r="L7" s="596"/>
      <c r="M7" s="602">
        <v>6.0</v>
      </c>
      <c r="N7" s="590"/>
      <c r="O7" s="587"/>
      <c r="P7" s="585"/>
      <c r="Q7" s="601"/>
      <c r="R7" s="603"/>
      <c r="S7" s="601"/>
      <c r="T7" s="596"/>
      <c r="U7" s="604">
        <v>5.0</v>
      </c>
      <c r="V7" s="601"/>
      <c r="W7" s="596"/>
    </row>
    <row r="8">
      <c r="B8" s="483"/>
      <c r="C8" s="484" t="s">
        <v>370</v>
      </c>
      <c r="D8" s="605"/>
      <c r="E8" s="606"/>
      <c r="F8" s="607"/>
      <c r="G8" s="608"/>
      <c r="H8" s="609"/>
      <c r="I8" s="610" t="s">
        <v>419</v>
      </c>
      <c r="J8" s="611" t="s">
        <v>419</v>
      </c>
      <c r="K8" s="612"/>
      <c r="L8" s="607"/>
      <c r="M8" s="613" t="s">
        <v>425</v>
      </c>
      <c r="N8" s="601"/>
      <c r="O8" s="598"/>
      <c r="P8" s="596"/>
      <c r="Q8" s="601"/>
      <c r="R8" s="603"/>
      <c r="S8" s="612"/>
      <c r="T8" s="607"/>
      <c r="U8" s="614" t="s">
        <v>419</v>
      </c>
      <c r="V8" s="601"/>
      <c r="W8" s="596"/>
    </row>
    <row r="9">
      <c r="B9" s="486" t="s">
        <v>371</v>
      </c>
      <c r="C9" s="478" t="s">
        <v>414</v>
      </c>
      <c r="D9" s="547" t="s">
        <v>442</v>
      </c>
      <c r="E9" s="615"/>
      <c r="F9" s="579"/>
      <c r="G9" s="616"/>
      <c r="H9" s="576" t="s">
        <v>443</v>
      </c>
      <c r="I9" s="576" t="s">
        <v>444</v>
      </c>
      <c r="J9" s="617"/>
      <c r="K9" s="618" t="s">
        <v>445</v>
      </c>
      <c r="L9" s="579"/>
      <c r="M9" s="580" t="s">
        <v>445</v>
      </c>
      <c r="N9" s="619" t="s">
        <v>441</v>
      </c>
      <c r="O9" s="620" t="s">
        <v>445</v>
      </c>
      <c r="P9" s="621" t="s">
        <v>443</v>
      </c>
      <c r="Q9" s="619" t="s">
        <v>445</v>
      </c>
      <c r="R9" s="622" t="s">
        <v>446</v>
      </c>
      <c r="S9" s="619" t="s">
        <v>441</v>
      </c>
      <c r="T9" s="622" t="s">
        <v>443</v>
      </c>
      <c r="U9" s="623" t="s">
        <v>444</v>
      </c>
      <c r="V9" s="624"/>
      <c r="W9" s="625"/>
    </row>
    <row r="10">
      <c r="B10" s="256"/>
      <c r="C10" s="47" t="s">
        <v>366</v>
      </c>
      <c r="D10" s="549" t="s">
        <v>447</v>
      </c>
      <c r="E10" s="584"/>
      <c r="F10" s="585"/>
      <c r="G10" s="586"/>
      <c r="H10" s="588" t="s">
        <v>447</v>
      </c>
      <c r="I10" s="588" t="s">
        <v>447</v>
      </c>
      <c r="J10" s="626"/>
      <c r="K10" s="627" t="s">
        <v>447</v>
      </c>
      <c r="L10" s="585"/>
      <c r="M10" s="591" t="s">
        <v>447</v>
      </c>
      <c r="N10" s="627" t="s">
        <v>447</v>
      </c>
      <c r="O10" s="588" t="s">
        <v>447</v>
      </c>
      <c r="P10" s="589" t="s">
        <v>447</v>
      </c>
      <c r="Q10" s="627" t="s">
        <v>447</v>
      </c>
      <c r="R10" s="628" t="s">
        <v>447</v>
      </c>
      <c r="S10" s="591" t="s">
        <v>447</v>
      </c>
      <c r="T10" s="628" t="s">
        <v>447</v>
      </c>
      <c r="U10" s="629" t="s">
        <v>447</v>
      </c>
      <c r="V10" s="630"/>
      <c r="W10" s="631"/>
    </row>
    <row r="11">
      <c r="B11" s="256"/>
      <c r="C11" s="481" t="s">
        <v>417</v>
      </c>
      <c r="D11" s="551">
        <v>6.0</v>
      </c>
      <c r="E11" s="595"/>
      <c r="F11" s="596"/>
      <c r="G11" s="597"/>
      <c r="H11" s="599">
        <v>6.0</v>
      </c>
      <c r="I11" s="599">
        <v>5.0</v>
      </c>
      <c r="J11" s="632"/>
      <c r="K11" s="633">
        <v>6.0</v>
      </c>
      <c r="L11" s="596"/>
      <c r="M11" s="602">
        <v>6.0</v>
      </c>
      <c r="N11" s="627">
        <v>6.0</v>
      </c>
      <c r="O11" s="588">
        <v>6.0</v>
      </c>
      <c r="P11" s="589">
        <v>6.0</v>
      </c>
      <c r="Q11" s="627">
        <v>6.0</v>
      </c>
      <c r="R11" s="628">
        <v>5.0</v>
      </c>
      <c r="S11" s="602">
        <v>6.0</v>
      </c>
      <c r="T11" s="634">
        <v>6.0</v>
      </c>
      <c r="U11" s="635">
        <v>5.0</v>
      </c>
      <c r="V11" s="636"/>
      <c r="W11" s="637"/>
    </row>
    <row r="12">
      <c r="B12" s="483"/>
      <c r="C12" s="484" t="s">
        <v>370</v>
      </c>
      <c r="D12" s="553" t="s">
        <v>448</v>
      </c>
      <c r="E12" s="606"/>
      <c r="F12" s="607"/>
      <c r="G12" s="608"/>
      <c r="H12" s="610" t="s">
        <v>448</v>
      </c>
      <c r="I12" s="610" t="s">
        <v>425</v>
      </c>
      <c r="J12" s="638"/>
      <c r="K12" s="639" t="s">
        <v>448</v>
      </c>
      <c r="L12" s="607"/>
      <c r="M12" s="613" t="s">
        <v>448</v>
      </c>
      <c r="N12" s="633" t="s">
        <v>448</v>
      </c>
      <c r="O12" s="599" t="s">
        <v>448</v>
      </c>
      <c r="P12" s="600" t="s">
        <v>448</v>
      </c>
      <c r="Q12" s="639" t="s">
        <v>448</v>
      </c>
      <c r="R12" s="640" t="s">
        <v>425</v>
      </c>
      <c r="S12" s="613" t="s">
        <v>448</v>
      </c>
      <c r="T12" s="640" t="s">
        <v>448</v>
      </c>
      <c r="U12" s="641" t="s">
        <v>425</v>
      </c>
      <c r="V12" s="642"/>
      <c r="W12" s="643"/>
    </row>
    <row r="13">
      <c r="B13" s="486" t="s">
        <v>372</v>
      </c>
      <c r="C13" s="478" t="s">
        <v>414</v>
      </c>
      <c r="D13" s="644"/>
      <c r="E13" s="615"/>
      <c r="F13" s="579"/>
      <c r="G13" s="616"/>
      <c r="H13" s="645"/>
      <c r="I13" s="645"/>
      <c r="J13" s="617"/>
      <c r="K13" s="646"/>
      <c r="L13" s="579"/>
      <c r="M13" s="647"/>
      <c r="N13" s="646"/>
      <c r="O13" s="645"/>
      <c r="P13" s="579"/>
      <c r="Q13" s="578"/>
      <c r="R13" s="581"/>
      <c r="S13" s="646"/>
      <c r="T13" s="579"/>
      <c r="U13" s="648"/>
      <c r="V13" s="578"/>
      <c r="W13" s="573"/>
    </row>
    <row r="14">
      <c r="B14" s="256"/>
      <c r="C14" s="47" t="s">
        <v>366</v>
      </c>
      <c r="D14" s="649"/>
      <c r="E14" s="584"/>
      <c r="F14" s="585"/>
      <c r="G14" s="586"/>
      <c r="H14" s="587"/>
      <c r="I14" s="587"/>
      <c r="J14" s="626"/>
      <c r="K14" s="590"/>
      <c r="L14" s="585"/>
      <c r="M14" s="650"/>
      <c r="N14" s="590"/>
      <c r="O14" s="587"/>
      <c r="P14" s="585"/>
      <c r="Q14" s="590"/>
      <c r="R14" s="592"/>
      <c r="S14" s="590"/>
      <c r="T14" s="585"/>
      <c r="U14" s="651"/>
      <c r="V14" s="590"/>
      <c r="W14" s="585"/>
    </row>
    <row r="15">
      <c r="B15" s="256"/>
      <c r="C15" s="481" t="s">
        <v>417</v>
      </c>
      <c r="D15" s="594"/>
      <c r="E15" s="595"/>
      <c r="F15" s="596"/>
      <c r="G15" s="597"/>
      <c r="H15" s="598"/>
      <c r="I15" s="598"/>
      <c r="J15" s="632"/>
      <c r="K15" s="601"/>
      <c r="L15" s="596"/>
      <c r="M15" s="652"/>
      <c r="N15" s="590"/>
      <c r="O15" s="587"/>
      <c r="P15" s="585"/>
      <c r="Q15" s="601"/>
      <c r="R15" s="603"/>
      <c r="S15" s="601"/>
      <c r="T15" s="596"/>
      <c r="U15" s="653"/>
      <c r="V15" s="601"/>
      <c r="W15" s="596"/>
    </row>
    <row r="16">
      <c r="B16" s="483"/>
      <c r="C16" s="484" t="s">
        <v>370</v>
      </c>
      <c r="D16" s="605"/>
      <c r="E16" s="606"/>
      <c r="F16" s="607"/>
      <c r="G16" s="608"/>
      <c r="H16" s="609"/>
      <c r="I16" s="609"/>
      <c r="J16" s="638"/>
      <c r="K16" s="612"/>
      <c r="L16" s="607"/>
      <c r="M16" s="654"/>
      <c r="N16" s="612"/>
      <c r="O16" s="609"/>
      <c r="P16" s="607"/>
      <c r="Q16" s="612"/>
      <c r="R16" s="655"/>
      <c r="S16" s="612"/>
      <c r="T16" s="607"/>
      <c r="U16" s="656"/>
      <c r="V16" s="612"/>
      <c r="W16" s="607"/>
    </row>
    <row r="17">
      <c r="B17" s="486" t="s">
        <v>373</v>
      </c>
      <c r="C17" s="478" t="s">
        <v>414</v>
      </c>
      <c r="D17" s="657"/>
      <c r="E17" s="658"/>
      <c r="F17" s="625"/>
      <c r="G17" s="659"/>
      <c r="H17" s="660"/>
      <c r="I17" s="576" t="s">
        <v>449</v>
      </c>
      <c r="J17" s="661"/>
      <c r="K17" s="624"/>
      <c r="L17" s="625"/>
      <c r="M17" s="662"/>
      <c r="N17" s="624"/>
      <c r="O17" s="660"/>
      <c r="P17" s="625"/>
      <c r="Q17" s="623" t="s">
        <v>450</v>
      </c>
      <c r="R17" s="625"/>
      <c r="S17" s="624"/>
      <c r="T17" s="625"/>
      <c r="U17" s="663"/>
      <c r="V17" s="624"/>
      <c r="W17" s="625"/>
    </row>
    <row r="18">
      <c r="B18" s="256"/>
      <c r="C18" s="47" t="s">
        <v>366</v>
      </c>
      <c r="D18" s="583"/>
      <c r="E18" s="664"/>
      <c r="F18" s="631"/>
      <c r="G18" s="665"/>
      <c r="H18" s="666"/>
      <c r="I18" s="588" t="s">
        <v>418</v>
      </c>
      <c r="J18" s="667"/>
      <c r="K18" s="630"/>
      <c r="L18" s="631"/>
      <c r="M18" s="668"/>
      <c r="N18" s="630"/>
      <c r="O18" s="666"/>
      <c r="P18" s="631"/>
      <c r="Q18" s="629" t="s">
        <v>418</v>
      </c>
      <c r="R18" s="631"/>
      <c r="S18" s="630"/>
      <c r="T18" s="631"/>
      <c r="U18" s="669"/>
      <c r="V18" s="630"/>
      <c r="W18" s="631"/>
    </row>
    <row r="19">
      <c r="B19" s="256"/>
      <c r="C19" s="481" t="s">
        <v>417</v>
      </c>
      <c r="D19" s="670"/>
      <c r="E19" s="671"/>
      <c r="F19" s="637"/>
      <c r="G19" s="672"/>
      <c r="H19" s="673"/>
      <c r="I19" s="599">
        <v>6.0</v>
      </c>
      <c r="J19" s="674"/>
      <c r="K19" s="636"/>
      <c r="L19" s="637"/>
      <c r="M19" s="675"/>
      <c r="N19" s="630"/>
      <c r="O19" s="666"/>
      <c r="P19" s="631"/>
      <c r="Q19" s="635">
        <v>6.0</v>
      </c>
      <c r="R19" s="637"/>
      <c r="S19" s="636"/>
      <c r="T19" s="637"/>
      <c r="U19" s="676"/>
      <c r="V19" s="636"/>
      <c r="W19" s="637"/>
    </row>
    <row r="20">
      <c r="B20" s="483"/>
      <c r="C20" s="484" t="s">
        <v>370</v>
      </c>
      <c r="D20" s="677"/>
      <c r="E20" s="678"/>
      <c r="F20" s="643"/>
      <c r="G20" s="679"/>
      <c r="H20" s="680"/>
      <c r="I20" s="610" t="s">
        <v>447</v>
      </c>
      <c r="J20" s="681"/>
      <c r="K20" s="642"/>
      <c r="L20" s="643"/>
      <c r="M20" s="682"/>
      <c r="N20" s="642"/>
      <c r="O20" s="680"/>
      <c r="P20" s="643"/>
      <c r="Q20" s="641" t="s">
        <v>447</v>
      </c>
      <c r="R20" s="643"/>
      <c r="S20" s="642"/>
      <c r="T20" s="643"/>
      <c r="U20" s="683"/>
      <c r="V20" s="642"/>
      <c r="W20" s="643"/>
    </row>
    <row r="21">
      <c r="B21" s="486" t="s">
        <v>374</v>
      </c>
      <c r="C21" s="478" t="s">
        <v>414</v>
      </c>
      <c r="D21" s="644"/>
      <c r="E21" s="618" t="s">
        <v>451</v>
      </c>
      <c r="F21" s="625"/>
      <c r="G21" s="684" t="s">
        <v>452</v>
      </c>
      <c r="H21" s="645"/>
      <c r="I21" s="645"/>
      <c r="J21" s="577" t="s">
        <v>453</v>
      </c>
      <c r="K21" s="619" t="s">
        <v>453</v>
      </c>
      <c r="L21" s="622" t="s">
        <v>454</v>
      </c>
      <c r="M21" s="647"/>
      <c r="N21" s="618" t="s">
        <v>453</v>
      </c>
      <c r="O21" s="645"/>
      <c r="P21" s="579"/>
      <c r="Q21" s="646"/>
      <c r="R21" s="685"/>
      <c r="S21" s="619" t="s">
        <v>455</v>
      </c>
      <c r="T21" s="622" t="s">
        <v>454</v>
      </c>
      <c r="U21" s="582" t="s">
        <v>454</v>
      </c>
      <c r="V21" s="619" t="s">
        <v>454</v>
      </c>
      <c r="W21" s="622" t="s">
        <v>456</v>
      </c>
    </row>
    <row r="22">
      <c r="B22" s="256"/>
      <c r="C22" s="47" t="s">
        <v>366</v>
      </c>
      <c r="D22" s="649"/>
      <c r="E22" s="627" t="s">
        <v>419</v>
      </c>
      <c r="F22" s="631"/>
      <c r="G22" s="686" t="s">
        <v>419</v>
      </c>
      <c r="H22" s="587"/>
      <c r="I22" s="587"/>
      <c r="J22" s="589" t="s">
        <v>419</v>
      </c>
      <c r="K22" s="627" t="s">
        <v>419</v>
      </c>
      <c r="L22" s="628" t="s">
        <v>419</v>
      </c>
      <c r="M22" s="650"/>
      <c r="N22" s="627" t="s">
        <v>419</v>
      </c>
      <c r="O22" s="587"/>
      <c r="P22" s="585"/>
      <c r="Q22" s="590"/>
      <c r="R22" s="592"/>
      <c r="S22" s="627" t="s">
        <v>419</v>
      </c>
      <c r="T22" s="628" t="s">
        <v>419</v>
      </c>
      <c r="U22" s="593" t="s">
        <v>419</v>
      </c>
      <c r="V22" s="627" t="s">
        <v>419</v>
      </c>
      <c r="W22" s="628" t="s">
        <v>419</v>
      </c>
    </row>
    <row r="23">
      <c r="B23" s="256"/>
      <c r="C23" s="481" t="s">
        <v>417</v>
      </c>
      <c r="D23" s="594"/>
      <c r="E23" s="633">
        <v>5.0</v>
      </c>
      <c r="F23" s="637"/>
      <c r="G23" s="687">
        <v>7.0</v>
      </c>
      <c r="H23" s="598"/>
      <c r="I23" s="598"/>
      <c r="J23" s="600">
        <v>6.0</v>
      </c>
      <c r="K23" s="633">
        <v>6.0</v>
      </c>
      <c r="L23" s="634">
        <v>6.0</v>
      </c>
      <c r="M23" s="652"/>
      <c r="N23" s="627">
        <v>6.0</v>
      </c>
      <c r="O23" s="587"/>
      <c r="P23" s="585"/>
      <c r="Q23" s="601"/>
      <c r="R23" s="603"/>
      <c r="S23" s="633">
        <v>6.0</v>
      </c>
      <c r="T23" s="634">
        <v>6.0</v>
      </c>
      <c r="U23" s="604">
        <v>6.0</v>
      </c>
      <c r="V23" s="633">
        <v>6.0</v>
      </c>
      <c r="W23" s="634">
        <v>6.0</v>
      </c>
    </row>
    <row r="24">
      <c r="B24" s="483"/>
      <c r="C24" s="484" t="s">
        <v>370</v>
      </c>
      <c r="D24" s="605"/>
      <c r="E24" s="639" t="s">
        <v>447</v>
      </c>
      <c r="F24" s="643"/>
      <c r="G24" s="688" t="s">
        <v>422</v>
      </c>
      <c r="H24" s="609"/>
      <c r="I24" s="609"/>
      <c r="J24" s="611" t="s">
        <v>422</v>
      </c>
      <c r="K24" s="639" t="s">
        <v>422</v>
      </c>
      <c r="L24" s="640" t="s">
        <v>422</v>
      </c>
      <c r="M24" s="654"/>
      <c r="N24" s="639" t="s">
        <v>422</v>
      </c>
      <c r="O24" s="609"/>
      <c r="P24" s="607"/>
      <c r="Q24" s="612"/>
      <c r="R24" s="655"/>
      <c r="S24" s="639" t="s">
        <v>422</v>
      </c>
      <c r="T24" s="640" t="s">
        <v>422</v>
      </c>
      <c r="U24" s="614" t="s">
        <v>422</v>
      </c>
      <c r="V24" s="639" t="s">
        <v>422</v>
      </c>
      <c r="W24" s="640" t="s">
        <v>422</v>
      </c>
    </row>
    <row r="25">
      <c r="B25" s="486" t="s">
        <v>375</v>
      </c>
      <c r="C25" s="478" t="s">
        <v>414</v>
      </c>
      <c r="D25" s="644"/>
      <c r="E25" s="615"/>
      <c r="F25" s="579"/>
      <c r="G25" s="616"/>
      <c r="H25" s="645"/>
      <c r="I25" s="645"/>
      <c r="J25" s="617"/>
      <c r="K25" s="646"/>
      <c r="L25" s="579"/>
      <c r="M25" s="580" t="s">
        <v>423</v>
      </c>
      <c r="N25" s="689" t="s">
        <v>423</v>
      </c>
      <c r="O25" s="575"/>
      <c r="P25" s="573"/>
      <c r="Q25" s="646"/>
      <c r="R25" s="685"/>
      <c r="S25" s="646"/>
      <c r="T25" s="579"/>
      <c r="U25" s="648"/>
      <c r="V25" s="646"/>
      <c r="W25" s="579"/>
    </row>
    <row r="26">
      <c r="B26" s="256"/>
      <c r="C26" s="47" t="s">
        <v>366</v>
      </c>
      <c r="D26" s="649"/>
      <c r="E26" s="584"/>
      <c r="F26" s="585"/>
      <c r="G26" s="586"/>
      <c r="H26" s="587"/>
      <c r="I26" s="587"/>
      <c r="J26" s="626"/>
      <c r="K26" s="590"/>
      <c r="L26" s="585"/>
      <c r="M26" s="591" t="s">
        <v>425</v>
      </c>
      <c r="N26" s="627" t="s">
        <v>425</v>
      </c>
      <c r="O26" s="587"/>
      <c r="P26" s="585"/>
      <c r="Q26" s="590"/>
      <c r="R26" s="592"/>
      <c r="S26" s="590"/>
      <c r="T26" s="585"/>
      <c r="U26" s="651"/>
      <c r="V26" s="590"/>
      <c r="W26" s="585"/>
    </row>
    <row r="27">
      <c r="B27" s="256"/>
      <c r="C27" s="481" t="s">
        <v>417</v>
      </c>
      <c r="D27" s="594"/>
      <c r="E27" s="595"/>
      <c r="F27" s="596"/>
      <c r="G27" s="597"/>
      <c r="H27" s="598"/>
      <c r="I27" s="598"/>
      <c r="J27" s="632"/>
      <c r="K27" s="601"/>
      <c r="L27" s="596"/>
      <c r="M27" s="602">
        <v>6.0</v>
      </c>
      <c r="N27" s="627">
        <v>6.0</v>
      </c>
      <c r="O27" s="587"/>
      <c r="P27" s="585"/>
      <c r="Q27" s="601"/>
      <c r="R27" s="603"/>
      <c r="S27" s="601"/>
      <c r="T27" s="596"/>
      <c r="U27" s="653"/>
      <c r="V27" s="601"/>
      <c r="W27" s="596"/>
    </row>
    <row r="28">
      <c r="B28" s="483"/>
      <c r="C28" s="484" t="s">
        <v>370</v>
      </c>
      <c r="D28" s="605"/>
      <c r="E28" s="606"/>
      <c r="F28" s="607"/>
      <c r="G28" s="608"/>
      <c r="H28" s="609"/>
      <c r="I28" s="609"/>
      <c r="J28" s="638"/>
      <c r="K28" s="612"/>
      <c r="L28" s="607"/>
      <c r="M28" s="613" t="s">
        <v>418</v>
      </c>
      <c r="N28" s="639" t="s">
        <v>418</v>
      </c>
      <c r="O28" s="609"/>
      <c r="P28" s="607"/>
      <c r="Q28" s="612"/>
      <c r="R28" s="655"/>
      <c r="S28" s="612"/>
      <c r="T28" s="607"/>
      <c r="U28" s="656"/>
      <c r="V28" s="612"/>
      <c r="W28" s="607"/>
    </row>
    <row r="29">
      <c r="B29" s="486" t="s">
        <v>376</v>
      </c>
      <c r="C29" s="478" t="s">
        <v>414</v>
      </c>
      <c r="D29" s="644"/>
      <c r="E29" s="619" t="s">
        <v>457</v>
      </c>
      <c r="F29" s="622" t="s">
        <v>441</v>
      </c>
      <c r="G29" s="616"/>
      <c r="H29" s="645"/>
      <c r="I29" s="645"/>
      <c r="J29" s="577" t="s">
        <v>458</v>
      </c>
      <c r="K29" s="618" t="s">
        <v>440</v>
      </c>
      <c r="L29" s="579"/>
      <c r="M29" s="647"/>
      <c r="N29" s="689" t="s">
        <v>459</v>
      </c>
      <c r="O29" s="575"/>
      <c r="P29" s="573"/>
      <c r="Q29" s="646"/>
      <c r="R29" s="685"/>
      <c r="S29" s="646"/>
      <c r="T29" s="622" t="s">
        <v>440</v>
      </c>
      <c r="U29" s="582" t="s">
        <v>441</v>
      </c>
      <c r="V29" s="646"/>
      <c r="W29" s="690"/>
    </row>
    <row r="30">
      <c r="B30" s="256"/>
      <c r="C30" s="47" t="s">
        <v>366</v>
      </c>
      <c r="D30" s="649"/>
      <c r="E30" s="627" t="s">
        <v>448</v>
      </c>
      <c r="F30" s="628" t="s">
        <v>448</v>
      </c>
      <c r="G30" s="586"/>
      <c r="H30" s="587"/>
      <c r="I30" s="587"/>
      <c r="J30" s="589" t="s">
        <v>448</v>
      </c>
      <c r="K30" s="627" t="s">
        <v>448</v>
      </c>
      <c r="L30" s="585"/>
      <c r="M30" s="650"/>
      <c r="N30" s="627" t="s">
        <v>448</v>
      </c>
      <c r="O30" s="587"/>
      <c r="P30" s="585"/>
      <c r="Q30" s="590"/>
      <c r="R30" s="592"/>
      <c r="S30" s="590"/>
      <c r="T30" s="628" t="s">
        <v>448</v>
      </c>
      <c r="U30" s="593" t="s">
        <v>448</v>
      </c>
      <c r="V30" s="590"/>
      <c r="W30" s="691"/>
    </row>
    <row r="31">
      <c r="B31" s="256"/>
      <c r="C31" s="481" t="s">
        <v>417</v>
      </c>
      <c r="D31" s="594"/>
      <c r="E31" s="633">
        <v>6.0</v>
      </c>
      <c r="F31" s="634">
        <v>6.0</v>
      </c>
      <c r="G31" s="597"/>
      <c r="H31" s="598"/>
      <c r="I31" s="598"/>
      <c r="J31" s="600">
        <v>6.0</v>
      </c>
      <c r="K31" s="633">
        <v>6.0</v>
      </c>
      <c r="L31" s="596"/>
      <c r="M31" s="652"/>
      <c r="N31" s="627">
        <v>6.0</v>
      </c>
      <c r="O31" s="587"/>
      <c r="P31" s="585"/>
      <c r="Q31" s="601"/>
      <c r="R31" s="603"/>
      <c r="S31" s="601"/>
      <c r="T31" s="634">
        <v>6.0</v>
      </c>
      <c r="U31" s="604">
        <v>6.0</v>
      </c>
      <c r="V31" s="601"/>
      <c r="W31" s="692"/>
    </row>
    <row r="32">
      <c r="B32" s="483"/>
      <c r="C32" s="484" t="s">
        <v>370</v>
      </c>
      <c r="D32" s="605"/>
      <c r="E32" s="639" t="s">
        <v>419</v>
      </c>
      <c r="F32" s="640" t="s">
        <v>419</v>
      </c>
      <c r="G32" s="608"/>
      <c r="H32" s="609"/>
      <c r="I32" s="609"/>
      <c r="J32" s="611" t="s">
        <v>419</v>
      </c>
      <c r="K32" s="639" t="s">
        <v>419</v>
      </c>
      <c r="L32" s="607"/>
      <c r="M32" s="654"/>
      <c r="N32" s="639" t="s">
        <v>419</v>
      </c>
      <c r="O32" s="609"/>
      <c r="P32" s="607"/>
      <c r="Q32" s="612"/>
      <c r="R32" s="655"/>
      <c r="S32" s="612"/>
      <c r="T32" s="640" t="s">
        <v>419</v>
      </c>
      <c r="U32" s="614" t="s">
        <v>419</v>
      </c>
      <c r="V32" s="612"/>
      <c r="W32" s="693"/>
    </row>
    <row r="33">
      <c r="D33" s="322"/>
      <c r="E33" s="561"/>
      <c r="F33" s="562"/>
      <c r="G33" s="562"/>
      <c r="H33" s="562"/>
      <c r="I33" s="562"/>
      <c r="J33" s="562"/>
      <c r="K33" s="562"/>
      <c r="L33" s="562"/>
      <c r="M33" s="562"/>
      <c r="N33" s="562"/>
      <c r="O33" s="562"/>
      <c r="P33" s="562"/>
      <c r="Q33" s="562"/>
      <c r="R33" s="562"/>
      <c r="S33" s="562"/>
      <c r="T33" s="562"/>
      <c r="U33" s="562"/>
      <c r="V33" s="562"/>
      <c r="W33" s="562"/>
    </row>
    <row r="34">
      <c r="D34" s="322"/>
      <c r="E34" s="561"/>
      <c r="F34" s="562"/>
      <c r="G34" s="562"/>
      <c r="H34" s="562"/>
      <c r="I34" s="562"/>
      <c r="J34" s="562"/>
      <c r="K34" s="562"/>
      <c r="L34" s="562"/>
      <c r="M34" s="562"/>
      <c r="N34" s="562"/>
      <c r="O34" s="562"/>
      <c r="P34" s="562"/>
      <c r="Q34" s="562"/>
      <c r="R34" s="562"/>
      <c r="S34" s="562"/>
      <c r="T34" s="562"/>
      <c r="U34" s="562"/>
      <c r="V34" s="562"/>
      <c r="W34" s="562"/>
    </row>
  </sheetData>
  <mergeCells count="14">
    <mergeCell ref="B5:B8"/>
    <mergeCell ref="B9:B12"/>
    <mergeCell ref="B13:B16"/>
    <mergeCell ref="B17:B20"/>
    <mergeCell ref="B21:B24"/>
    <mergeCell ref="B25:B28"/>
    <mergeCell ref="B29:B32"/>
    <mergeCell ref="B4:C4"/>
    <mergeCell ref="E4:F4"/>
    <mergeCell ref="K4:L4"/>
    <mergeCell ref="N4:P4"/>
    <mergeCell ref="Q4:R4"/>
    <mergeCell ref="S4:T4"/>
    <mergeCell ref="V4:W4"/>
  </mergeCells>
  <printOptions gridLines="1" horizontalCentered="1"/>
  <pageMargins bottom="0.06417373766183497" footer="0.0" header="0.0" left="0.14973872121094825" right="0.17112996709822662" top="0.03208686883091748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57"/>
    <col customWidth="1" min="4" max="4" width="13.0"/>
    <col customWidth="1" min="5" max="5" width="12.14"/>
    <col customWidth="1" min="6" max="6" width="14.71"/>
    <col customWidth="1" min="7" max="7" width="13.14"/>
    <col customWidth="1" min="8" max="8" width="11.86"/>
    <col customWidth="1" min="9" max="9" width="10.57"/>
    <col customWidth="1" min="10" max="10" width="11.29"/>
    <col customWidth="1" min="11" max="11" width="10.57"/>
    <col customWidth="1" min="12" max="12" width="12.71"/>
    <col customWidth="1" min="13" max="13" width="10.57"/>
    <col customWidth="1" min="14" max="14" width="16.29"/>
  </cols>
  <sheetData>
    <row r="1">
      <c r="B1" s="473" t="s">
        <v>460</v>
      </c>
    </row>
    <row r="2">
      <c r="D2" s="322"/>
      <c r="E2" s="322"/>
    </row>
    <row r="3">
      <c r="D3" s="322"/>
      <c r="E3" s="694" t="s">
        <v>461</v>
      </c>
      <c r="F3" s="245"/>
    </row>
    <row r="4">
      <c r="A4" s="452"/>
      <c r="B4" s="474" t="s">
        <v>358</v>
      </c>
      <c r="C4" s="475"/>
      <c r="D4" s="695" t="s">
        <v>462</v>
      </c>
      <c r="E4" s="696" t="s">
        <v>463</v>
      </c>
      <c r="F4" s="245"/>
      <c r="G4" s="695" t="s">
        <v>432</v>
      </c>
      <c r="H4" s="696" t="s">
        <v>438</v>
      </c>
      <c r="I4" s="245"/>
      <c r="J4" s="696" t="s">
        <v>431</v>
      </c>
      <c r="K4" s="245"/>
      <c r="L4" s="545" t="s">
        <v>428</v>
      </c>
      <c r="M4" s="545" t="s">
        <v>436</v>
      </c>
      <c r="N4" s="545" t="s">
        <v>464</v>
      </c>
    </row>
    <row r="5">
      <c r="B5" s="477" t="s">
        <v>363</v>
      </c>
      <c r="C5" s="478" t="s">
        <v>414</v>
      </c>
      <c r="D5" s="494"/>
      <c r="E5" s="494"/>
      <c r="F5" s="697"/>
      <c r="G5" s="547" t="s">
        <v>440</v>
      </c>
      <c r="H5" s="618" t="s">
        <v>440</v>
      </c>
      <c r="I5" s="690"/>
      <c r="J5" s="494"/>
      <c r="K5" s="697"/>
      <c r="L5" s="490"/>
      <c r="M5" s="490"/>
      <c r="N5" s="490"/>
    </row>
    <row r="6">
      <c r="B6" s="256"/>
      <c r="C6" s="47" t="s">
        <v>366</v>
      </c>
      <c r="D6" s="491"/>
      <c r="E6" s="491"/>
      <c r="F6" s="698"/>
      <c r="G6" s="549" t="s">
        <v>367</v>
      </c>
      <c r="H6" s="480" t="s">
        <v>367</v>
      </c>
      <c r="I6" s="263"/>
      <c r="J6" s="491"/>
      <c r="K6" s="698"/>
      <c r="L6" s="491"/>
      <c r="M6" s="491"/>
      <c r="N6" s="491"/>
    </row>
    <row r="7">
      <c r="B7" s="256"/>
      <c r="C7" s="481" t="s">
        <v>417</v>
      </c>
      <c r="D7" s="492"/>
      <c r="E7" s="492"/>
      <c r="F7" s="291"/>
      <c r="G7" s="551">
        <v>7.0</v>
      </c>
      <c r="H7" s="480">
        <v>7.0</v>
      </c>
      <c r="I7" s="263"/>
      <c r="J7" s="492"/>
      <c r="K7" s="291"/>
      <c r="L7" s="492"/>
      <c r="M7" s="492"/>
      <c r="N7" s="492"/>
    </row>
    <row r="8">
      <c r="B8" s="483"/>
      <c r="C8" s="484" t="s">
        <v>370</v>
      </c>
      <c r="D8" s="493"/>
      <c r="E8" s="493"/>
      <c r="F8" s="699"/>
      <c r="G8" s="553" t="s">
        <v>448</v>
      </c>
      <c r="H8" s="485" t="s">
        <v>448</v>
      </c>
      <c r="I8" s="700"/>
      <c r="J8" s="493"/>
      <c r="K8" s="699"/>
      <c r="L8" s="492"/>
      <c r="M8" s="492"/>
      <c r="N8" s="492"/>
    </row>
    <row r="9">
      <c r="B9" s="486" t="s">
        <v>371</v>
      </c>
      <c r="C9" s="478" t="s">
        <v>465</v>
      </c>
      <c r="D9" s="618" t="s">
        <v>441</v>
      </c>
      <c r="E9" s="622" t="s">
        <v>444</v>
      </c>
      <c r="F9" s="622" t="s">
        <v>444</v>
      </c>
      <c r="G9" s="701"/>
      <c r="H9" s="619" t="s">
        <v>466</v>
      </c>
      <c r="I9" s="622" t="s">
        <v>444</v>
      </c>
      <c r="J9" s="619" t="s">
        <v>466</v>
      </c>
      <c r="K9" s="622" t="s">
        <v>444</v>
      </c>
      <c r="L9" s="487"/>
      <c r="M9" s="547" t="s">
        <v>446</v>
      </c>
      <c r="N9" s="547" t="s">
        <v>441</v>
      </c>
    </row>
    <row r="10">
      <c r="B10" s="256"/>
      <c r="C10" s="47" t="s">
        <v>366</v>
      </c>
      <c r="D10" s="480" t="s">
        <v>447</v>
      </c>
      <c r="E10" s="480" t="s">
        <v>447</v>
      </c>
      <c r="F10" s="702" t="s">
        <v>447</v>
      </c>
      <c r="G10" s="703"/>
      <c r="H10" s="480" t="s">
        <v>447</v>
      </c>
      <c r="I10" s="702" t="s">
        <v>447</v>
      </c>
      <c r="J10" s="480" t="s">
        <v>447</v>
      </c>
      <c r="K10" s="702" t="s">
        <v>447</v>
      </c>
      <c r="L10" s="268"/>
      <c r="M10" s="549" t="s">
        <v>447</v>
      </c>
      <c r="N10" s="549" t="s">
        <v>447</v>
      </c>
    </row>
    <row r="11">
      <c r="B11" s="256"/>
      <c r="C11" s="481" t="s">
        <v>417</v>
      </c>
      <c r="D11" s="480">
        <v>7.0</v>
      </c>
      <c r="E11" s="480">
        <v>5.0</v>
      </c>
      <c r="F11" s="702">
        <v>5.0</v>
      </c>
      <c r="G11" s="704"/>
      <c r="H11" s="480">
        <v>4.0</v>
      </c>
      <c r="I11" s="702">
        <v>5.0</v>
      </c>
      <c r="J11" s="480">
        <v>4.0</v>
      </c>
      <c r="K11" s="702">
        <v>5.0</v>
      </c>
      <c r="L11" s="488"/>
      <c r="M11" s="551">
        <v>6.0</v>
      </c>
      <c r="N11" s="551">
        <v>7.0</v>
      </c>
    </row>
    <row r="12">
      <c r="B12" s="483"/>
      <c r="C12" s="484" t="s">
        <v>370</v>
      </c>
      <c r="D12" s="485" t="s">
        <v>367</v>
      </c>
      <c r="E12" s="485" t="s">
        <v>367</v>
      </c>
      <c r="F12" s="705" t="s">
        <v>425</v>
      </c>
      <c r="G12" s="706"/>
      <c r="H12" s="485" t="s">
        <v>419</v>
      </c>
      <c r="I12" s="705" t="s">
        <v>425</v>
      </c>
      <c r="J12" s="485" t="s">
        <v>419</v>
      </c>
      <c r="K12" s="705" t="s">
        <v>425</v>
      </c>
      <c r="L12" s="489"/>
      <c r="M12" s="553" t="s">
        <v>448</v>
      </c>
      <c r="N12" s="553" t="s">
        <v>367</v>
      </c>
    </row>
    <row r="13">
      <c r="B13" s="486" t="s">
        <v>372</v>
      </c>
      <c r="C13" s="478" t="s">
        <v>465</v>
      </c>
      <c r="D13" s="494"/>
      <c r="E13" s="494"/>
      <c r="F13" s="697"/>
      <c r="G13" s="707"/>
      <c r="H13" s="494"/>
      <c r="I13" s="697"/>
      <c r="J13" s="494"/>
      <c r="K13" s="697"/>
      <c r="L13" s="490"/>
      <c r="M13" s="490"/>
      <c r="N13" s="490"/>
    </row>
    <row r="14">
      <c r="B14" s="256"/>
      <c r="C14" s="47" t="s">
        <v>366</v>
      </c>
      <c r="D14" s="491"/>
      <c r="E14" s="491"/>
      <c r="F14" s="698"/>
      <c r="G14" s="708"/>
      <c r="H14" s="491"/>
      <c r="I14" s="698"/>
      <c r="J14" s="491"/>
      <c r="K14" s="698"/>
      <c r="L14" s="491"/>
      <c r="M14" s="491"/>
      <c r="N14" s="491"/>
    </row>
    <row r="15">
      <c r="B15" s="256"/>
      <c r="C15" s="481" t="s">
        <v>417</v>
      </c>
      <c r="D15" s="492"/>
      <c r="E15" s="492"/>
      <c r="F15" s="291"/>
      <c r="G15" s="709"/>
      <c r="H15" s="492"/>
      <c r="I15" s="291"/>
      <c r="J15" s="492"/>
      <c r="K15" s="291"/>
      <c r="L15" s="492"/>
      <c r="M15" s="492"/>
      <c r="N15" s="492"/>
    </row>
    <row r="16">
      <c r="B16" s="483"/>
      <c r="C16" s="484" t="s">
        <v>370</v>
      </c>
      <c r="D16" s="493"/>
      <c r="E16" s="493"/>
      <c r="F16" s="699"/>
      <c r="G16" s="710"/>
      <c r="H16" s="493"/>
      <c r="I16" s="699"/>
      <c r="J16" s="493"/>
      <c r="K16" s="699"/>
      <c r="L16" s="493"/>
      <c r="M16" s="493"/>
      <c r="N16" s="493"/>
    </row>
    <row r="17">
      <c r="B17" s="486" t="s">
        <v>373</v>
      </c>
      <c r="C17" s="478" t="s">
        <v>465</v>
      </c>
      <c r="D17" s="487"/>
      <c r="E17" s="487"/>
      <c r="F17" s="711"/>
      <c r="G17" s="701"/>
      <c r="H17" s="487"/>
      <c r="I17" s="711"/>
      <c r="J17" s="487"/>
      <c r="K17" s="711"/>
      <c r="L17" s="487"/>
      <c r="M17" s="547" t="s">
        <v>450</v>
      </c>
      <c r="N17" s="487"/>
    </row>
    <row r="18">
      <c r="B18" s="256"/>
      <c r="C18" s="47" t="s">
        <v>366</v>
      </c>
      <c r="D18" s="268"/>
      <c r="E18" s="268"/>
      <c r="F18" s="274"/>
      <c r="G18" s="703"/>
      <c r="H18" s="268"/>
      <c r="I18" s="274"/>
      <c r="J18" s="268"/>
      <c r="K18" s="274"/>
      <c r="L18" s="268"/>
      <c r="M18" s="549" t="s">
        <v>418</v>
      </c>
      <c r="N18" s="268"/>
    </row>
    <row r="19">
      <c r="B19" s="256"/>
      <c r="C19" s="481" t="s">
        <v>417</v>
      </c>
      <c r="D19" s="488"/>
      <c r="E19" s="488"/>
      <c r="F19" s="712"/>
      <c r="G19" s="704"/>
      <c r="H19" s="488"/>
      <c r="I19" s="712"/>
      <c r="J19" s="488"/>
      <c r="K19" s="712"/>
      <c r="L19" s="488"/>
      <c r="M19" s="551">
        <v>7.0</v>
      </c>
      <c r="N19" s="488"/>
    </row>
    <row r="20">
      <c r="B20" s="483"/>
      <c r="C20" s="484" t="s">
        <v>370</v>
      </c>
      <c r="D20" s="489"/>
      <c r="E20" s="489"/>
      <c r="F20" s="713"/>
      <c r="G20" s="706"/>
      <c r="H20" s="489"/>
      <c r="I20" s="713"/>
      <c r="J20" s="489"/>
      <c r="K20" s="713"/>
      <c r="L20" s="489"/>
      <c r="M20" s="553" t="s">
        <v>422</v>
      </c>
      <c r="N20" s="489"/>
    </row>
    <row r="21">
      <c r="B21" s="486" t="s">
        <v>374</v>
      </c>
      <c r="C21" s="478" t="s">
        <v>465</v>
      </c>
      <c r="D21" s="658"/>
      <c r="E21" s="658"/>
      <c r="F21" s="690"/>
      <c r="G21" s="701"/>
      <c r="H21" s="658"/>
      <c r="I21" s="690"/>
      <c r="J21" s="658"/>
      <c r="K21" s="690"/>
      <c r="L21" s="487"/>
      <c r="M21" s="487"/>
      <c r="N21" s="487"/>
    </row>
    <row r="22">
      <c r="B22" s="256"/>
      <c r="C22" s="47" t="s">
        <v>366</v>
      </c>
      <c r="D22" s="262"/>
      <c r="E22" s="262"/>
      <c r="F22" s="263"/>
      <c r="G22" s="703"/>
      <c r="H22" s="262"/>
      <c r="I22" s="263"/>
      <c r="J22" s="262"/>
      <c r="K22" s="263"/>
      <c r="L22" s="268"/>
      <c r="M22" s="268"/>
      <c r="N22" s="268"/>
    </row>
    <row r="23">
      <c r="B23" s="256"/>
      <c r="C23" s="481" t="s">
        <v>417</v>
      </c>
      <c r="D23" s="714"/>
      <c r="E23" s="714"/>
      <c r="F23" s="715"/>
      <c r="G23" s="704"/>
      <c r="H23" s="714"/>
      <c r="I23" s="715"/>
      <c r="J23" s="714"/>
      <c r="K23" s="715"/>
      <c r="L23" s="488"/>
      <c r="M23" s="488"/>
      <c r="N23" s="488"/>
    </row>
    <row r="24">
      <c r="B24" s="483"/>
      <c r="C24" s="484" t="s">
        <v>370</v>
      </c>
      <c r="D24" s="716"/>
      <c r="E24" s="716"/>
      <c r="F24" s="700"/>
      <c r="G24" s="706"/>
      <c r="H24" s="716"/>
      <c r="I24" s="700"/>
      <c r="J24" s="716"/>
      <c r="K24" s="700"/>
      <c r="L24" s="489"/>
      <c r="M24" s="489"/>
      <c r="N24" s="489"/>
    </row>
    <row r="25">
      <c r="B25" s="486" t="s">
        <v>375</v>
      </c>
      <c r="C25" s="478" t="s">
        <v>465</v>
      </c>
      <c r="D25" s="494"/>
      <c r="E25" s="494"/>
      <c r="F25" s="622" t="s">
        <v>467</v>
      </c>
      <c r="G25" s="717"/>
      <c r="H25" s="494"/>
      <c r="I25" s="697"/>
      <c r="J25" s="494"/>
      <c r="K25" s="697"/>
      <c r="L25" s="494"/>
      <c r="M25" s="494"/>
      <c r="N25" s="494"/>
    </row>
    <row r="26">
      <c r="B26" s="256"/>
      <c r="C26" s="47" t="s">
        <v>366</v>
      </c>
      <c r="D26" s="491"/>
      <c r="E26" s="491"/>
      <c r="F26" s="702" t="s">
        <v>425</v>
      </c>
      <c r="G26" s="708"/>
      <c r="H26" s="491"/>
      <c r="I26" s="698"/>
      <c r="J26" s="491"/>
      <c r="K26" s="698"/>
      <c r="L26" s="491"/>
      <c r="M26" s="491"/>
      <c r="N26" s="491"/>
    </row>
    <row r="27">
      <c r="B27" s="256"/>
      <c r="C27" s="481" t="s">
        <v>417</v>
      </c>
      <c r="D27" s="492"/>
      <c r="E27" s="492"/>
      <c r="F27" s="702">
        <v>5.0</v>
      </c>
      <c r="G27" s="709"/>
      <c r="H27" s="492"/>
      <c r="I27" s="291"/>
      <c r="J27" s="492"/>
      <c r="K27" s="291"/>
      <c r="L27" s="492"/>
      <c r="M27" s="492"/>
      <c r="N27" s="492"/>
    </row>
    <row r="28">
      <c r="B28" s="483"/>
      <c r="C28" s="484" t="s">
        <v>370</v>
      </c>
      <c r="D28" s="493"/>
      <c r="E28" s="493"/>
      <c r="F28" s="705" t="s">
        <v>425</v>
      </c>
      <c r="G28" s="710"/>
      <c r="H28" s="493"/>
      <c r="I28" s="699"/>
      <c r="J28" s="493"/>
      <c r="K28" s="699"/>
      <c r="L28" s="493"/>
      <c r="M28" s="493"/>
      <c r="N28" s="493"/>
    </row>
    <row r="29">
      <c r="B29" s="486" t="s">
        <v>376</v>
      </c>
      <c r="C29" s="478" t="s">
        <v>465</v>
      </c>
      <c r="D29" s="718"/>
      <c r="E29" s="718"/>
      <c r="F29" s="697"/>
      <c r="G29" s="547" t="s">
        <v>440</v>
      </c>
      <c r="H29" s="494"/>
      <c r="I29" s="697"/>
      <c r="J29" s="494"/>
      <c r="K29" s="697"/>
      <c r="L29" s="547" t="s">
        <v>457</v>
      </c>
      <c r="M29" s="494"/>
      <c r="N29" s="494"/>
    </row>
    <row r="30">
      <c r="B30" s="256"/>
      <c r="C30" s="47" t="s">
        <v>366</v>
      </c>
      <c r="D30" s="262"/>
      <c r="E30" s="262"/>
      <c r="F30" s="698"/>
      <c r="G30" s="549" t="s">
        <v>448</v>
      </c>
      <c r="H30" s="491"/>
      <c r="I30" s="698"/>
      <c r="J30" s="491"/>
      <c r="K30" s="698"/>
      <c r="L30" s="549" t="s">
        <v>448</v>
      </c>
      <c r="M30" s="491"/>
      <c r="N30" s="491"/>
    </row>
    <row r="31">
      <c r="B31" s="256"/>
      <c r="C31" s="481" t="s">
        <v>417</v>
      </c>
      <c r="D31" s="714"/>
      <c r="E31" s="714"/>
      <c r="F31" s="291"/>
      <c r="G31" s="551">
        <v>6.0</v>
      </c>
      <c r="H31" s="492"/>
      <c r="I31" s="291"/>
      <c r="J31" s="492"/>
      <c r="K31" s="291"/>
      <c r="L31" s="551">
        <v>6.0</v>
      </c>
      <c r="M31" s="492"/>
      <c r="N31" s="492"/>
    </row>
    <row r="32">
      <c r="B32" s="483"/>
      <c r="C32" s="484" t="s">
        <v>370</v>
      </c>
      <c r="D32" s="716"/>
      <c r="E32" s="716"/>
      <c r="F32" s="699"/>
      <c r="G32" s="553" t="s">
        <v>419</v>
      </c>
      <c r="H32" s="493"/>
      <c r="I32" s="699"/>
      <c r="J32" s="493"/>
      <c r="K32" s="699"/>
      <c r="L32" s="553" t="s">
        <v>419</v>
      </c>
      <c r="M32" s="493"/>
      <c r="N32" s="493"/>
    </row>
    <row r="33">
      <c r="D33" s="322"/>
      <c r="E33" s="322"/>
    </row>
    <row r="34">
      <c r="D34" s="322"/>
      <c r="E34" s="322"/>
    </row>
  </sheetData>
  <mergeCells count="13">
    <mergeCell ref="B9:B12"/>
    <mergeCell ref="B13:B16"/>
    <mergeCell ref="B17:B20"/>
    <mergeCell ref="B21:B24"/>
    <mergeCell ref="B25:B28"/>
    <mergeCell ref="B29:B32"/>
    <mergeCell ref="B1:N1"/>
    <mergeCell ref="E3:F3"/>
    <mergeCell ref="B4:C4"/>
    <mergeCell ref="E4:F4"/>
    <mergeCell ref="H4:I4"/>
    <mergeCell ref="J4:K4"/>
    <mergeCell ref="B5:B8"/>
  </mergeCells>
  <printOptions gridLines="1" horizontalCentered="1"/>
  <pageMargins bottom="0.06417373766183497" footer="0.0" header="0.0" left="0.14973872121094825" right="0.17112996709822662" top="0.03208686883091748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71"/>
    <col customWidth="1" min="4" max="4" width="9.71"/>
    <col customWidth="1" min="5" max="5" width="12.14"/>
    <col customWidth="1" min="6" max="6" width="14.71"/>
    <col customWidth="1" min="7" max="7" width="13.14"/>
    <col customWidth="1" min="8" max="8" width="10.14"/>
    <col customWidth="1" min="9" max="9" width="11.29"/>
  </cols>
  <sheetData>
    <row r="1">
      <c r="B1" s="473" t="s">
        <v>468</v>
      </c>
    </row>
    <row r="2">
      <c r="D2" s="322"/>
      <c r="E2" s="322"/>
    </row>
    <row r="3">
      <c r="D3" s="322"/>
      <c r="E3" s="322"/>
    </row>
    <row r="4">
      <c r="A4" s="452"/>
      <c r="B4" s="474" t="s">
        <v>358</v>
      </c>
      <c r="C4" s="475"/>
      <c r="D4" s="545" t="s">
        <v>469</v>
      </c>
      <c r="E4" s="545" t="s">
        <v>470</v>
      </c>
      <c r="F4" s="545" t="s">
        <v>471</v>
      </c>
      <c r="G4" s="545" t="s">
        <v>431</v>
      </c>
      <c r="H4" s="545" t="s">
        <v>438</v>
      </c>
      <c r="I4" s="545" t="s">
        <v>472</v>
      </c>
    </row>
    <row r="5">
      <c r="B5" s="477" t="s">
        <v>363</v>
      </c>
      <c r="C5" s="478" t="s">
        <v>414</v>
      </c>
      <c r="D5" s="264"/>
      <c r="E5" s="490"/>
      <c r="F5" s="490"/>
      <c r="G5" s="490"/>
      <c r="H5" s="490"/>
      <c r="I5" s="490"/>
    </row>
    <row r="6">
      <c r="B6" s="256"/>
      <c r="C6" s="47" t="s">
        <v>366</v>
      </c>
      <c r="D6" s="268"/>
      <c r="E6" s="491"/>
      <c r="F6" s="491"/>
      <c r="G6" s="491"/>
      <c r="H6" s="491"/>
      <c r="I6" s="491"/>
    </row>
    <row r="7">
      <c r="B7" s="256"/>
      <c r="C7" s="481" t="s">
        <v>417</v>
      </c>
      <c r="D7" s="488"/>
      <c r="E7" s="492"/>
      <c r="F7" s="492"/>
      <c r="G7" s="492"/>
      <c r="H7" s="492"/>
      <c r="I7" s="492"/>
    </row>
    <row r="8">
      <c r="B8" s="483"/>
      <c r="C8" s="484" t="s">
        <v>370</v>
      </c>
      <c r="D8" s="488"/>
      <c r="E8" s="492"/>
      <c r="F8" s="492"/>
      <c r="G8" s="492"/>
      <c r="H8" s="492"/>
      <c r="I8" s="492"/>
    </row>
    <row r="9">
      <c r="B9" s="486" t="s">
        <v>371</v>
      </c>
      <c r="C9" s="478" t="s">
        <v>414</v>
      </c>
      <c r="D9" s="547" t="s">
        <v>473</v>
      </c>
      <c r="E9" s="487"/>
      <c r="F9" s="547" t="s">
        <v>473</v>
      </c>
      <c r="G9" s="487"/>
      <c r="H9" s="487"/>
      <c r="I9" s="487"/>
    </row>
    <row r="10">
      <c r="B10" s="256"/>
      <c r="C10" s="47" t="s">
        <v>366</v>
      </c>
      <c r="D10" s="549" t="s">
        <v>447</v>
      </c>
      <c r="E10" s="268"/>
      <c r="F10" s="549" t="s">
        <v>447</v>
      </c>
      <c r="G10" s="268"/>
      <c r="H10" s="268"/>
      <c r="I10" s="268"/>
    </row>
    <row r="11">
      <c r="B11" s="256"/>
      <c r="C11" s="481" t="s">
        <v>417</v>
      </c>
      <c r="D11" s="551">
        <v>8.0</v>
      </c>
      <c r="E11" s="488"/>
      <c r="F11" s="551">
        <v>11.0</v>
      </c>
      <c r="G11" s="488"/>
      <c r="H11" s="488"/>
      <c r="I11" s="488"/>
    </row>
    <row r="12">
      <c r="B12" s="483"/>
      <c r="C12" s="484" t="s">
        <v>370</v>
      </c>
      <c r="D12" s="553" t="s">
        <v>447</v>
      </c>
      <c r="E12" s="489"/>
      <c r="F12" s="553" t="s">
        <v>419</v>
      </c>
      <c r="G12" s="489"/>
      <c r="H12" s="489"/>
      <c r="I12" s="489"/>
    </row>
    <row r="13">
      <c r="B13" s="486" t="s">
        <v>372</v>
      </c>
      <c r="C13" s="478" t="s">
        <v>414</v>
      </c>
      <c r="D13" s="490"/>
      <c r="E13" s="490"/>
      <c r="F13" s="490"/>
      <c r="G13" s="490"/>
      <c r="H13" s="490"/>
      <c r="I13" s="490"/>
    </row>
    <row r="14">
      <c r="B14" s="256"/>
      <c r="C14" s="47" t="s">
        <v>366</v>
      </c>
      <c r="D14" s="491"/>
      <c r="E14" s="491"/>
      <c r="F14" s="491"/>
      <c r="G14" s="491"/>
      <c r="H14" s="491"/>
      <c r="I14" s="491"/>
    </row>
    <row r="15">
      <c r="B15" s="256"/>
      <c r="C15" s="481" t="s">
        <v>417</v>
      </c>
      <c r="D15" s="492"/>
      <c r="E15" s="492"/>
      <c r="F15" s="492"/>
      <c r="G15" s="492"/>
      <c r="H15" s="492"/>
      <c r="I15" s="492"/>
    </row>
    <row r="16">
      <c r="B16" s="483"/>
      <c r="C16" s="484" t="s">
        <v>370</v>
      </c>
      <c r="D16" s="493"/>
      <c r="E16" s="493"/>
      <c r="F16" s="493"/>
      <c r="G16" s="493"/>
      <c r="H16" s="493"/>
      <c r="I16" s="493"/>
    </row>
    <row r="17">
      <c r="B17" s="486" t="s">
        <v>373</v>
      </c>
      <c r="C17" s="478" t="s">
        <v>414</v>
      </c>
      <c r="D17" s="487"/>
      <c r="E17" s="487"/>
      <c r="F17" s="487"/>
      <c r="G17" s="487"/>
      <c r="H17" s="547" t="s">
        <v>449</v>
      </c>
      <c r="I17" s="547" t="s">
        <v>449</v>
      </c>
    </row>
    <row r="18">
      <c r="B18" s="256"/>
      <c r="C18" s="47" t="s">
        <v>366</v>
      </c>
      <c r="D18" s="268"/>
      <c r="E18" s="268"/>
      <c r="F18" s="268"/>
      <c r="G18" s="268"/>
      <c r="H18" s="549" t="s">
        <v>418</v>
      </c>
      <c r="I18" s="549" t="s">
        <v>418</v>
      </c>
    </row>
    <row r="19">
      <c r="B19" s="256"/>
      <c r="C19" s="481" t="s">
        <v>417</v>
      </c>
      <c r="D19" s="488"/>
      <c r="E19" s="488"/>
      <c r="F19" s="488"/>
      <c r="G19" s="488"/>
      <c r="H19" s="551">
        <v>8.0</v>
      </c>
      <c r="I19" s="551">
        <v>8.0</v>
      </c>
    </row>
    <row r="20">
      <c r="B20" s="483"/>
      <c r="C20" s="484" t="s">
        <v>370</v>
      </c>
      <c r="D20" s="489"/>
      <c r="E20" s="489"/>
      <c r="F20" s="489"/>
      <c r="G20" s="489"/>
      <c r="H20" s="553" t="s">
        <v>418</v>
      </c>
      <c r="I20" s="553" t="s">
        <v>418</v>
      </c>
    </row>
    <row r="21">
      <c r="B21" s="486" t="s">
        <v>374</v>
      </c>
      <c r="C21" s="478" t="s">
        <v>414</v>
      </c>
      <c r="D21" s="487"/>
      <c r="E21" s="547" t="s">
        <v>474</v>
      </c>
      <c r="F21" s="547" t="s">
        <v>475</v>
      </c>
      <c r="G21" s="547" t="s">
        <v>476</v>
      </c>
      <c r="H21" s="487"/>
      <c r="I21" s="487"/>
    </row>
    <row r="22">
      <c r="B22" s="256"/>
      <c r="C22" s="47" t="s">
        <v>366</v>
      </c>
      <c r="D22" s="268"/>
      <c r="E22" s="549" t="s">
        <v>419</v>
      </c>
      <c r="F22" s="549" t="s">
        <v>419</v>
      </c>
      <c r="G22" s="549" t="s">
        <v>419</v>
      </c>
      <c r="H22" s="268"/>
      <c r="I22" s="268"/>
    </row>
    <row r="23">
      <c r="B23" s="256"/>
      <c r="C23" s="481" t="s">
        <v>417</v>
      </c>
      <c r="D23" s="488"/>
      <c r="E23" s="551">
        <v>10.0</v>
      </c>
      <c r="F23" s="551">
        <v>11.0</v>
      </c>
      <c r="G23" s="551">
        <v>8.0</v>
      </c>
      <c r="H23" s="488"/>
      <c r="I23" s="488"/>
    </row>
    <row r="24">
      <c r="B24" s="483"/>
      <c r="C24" s="484" t="s">
        <v>370</v>
      </c>
      <c r="D24" s="489"/>
      <c r="E24" s="553" t="s">
        <v>448</v>
      </c>
      <c r="F24" s="553" t="s">
        <v>367</v>
      </c>
      <c r="G24" s="553" t="s">
        <v>418</v>
      </c>
      <c r="H24" s="489"/>
      <c r="I24" s="489"/>
    </row>
    <row r="25">
      <c r="B25" s="486" t="s">
        <v>375</v>
      </c>
      <c r="C25" s="478" t="s">
        <v>414</v>
      </c>
      <c r="D25" s="547" t="s">
        <v>477</v>
      </c>
      <c r="E25" s="494"/>
      <c r="F25" s="494"/>
      <c r="G25" s="494"/>
      <c r="H25" s="494"/>
      <c r="I25" s="494"/>
    </row>
    <row r="26">
      <c r="B26" s="256"/>
      <c r="C26" s="47" t="s">
        <v>366</v>
      </c>
      <c r="D26" s="549" t="s">
        <v>425</v>
      </c>
      <c r="E26" s="491"/>
      <c r="F26" s="491"/>
      <c r="G26" s="491"/>
      <c r="H26" s="491"/>
      <c r="I26" s="491"/>
    </row>
    <row r="27">
      <c r="B27" s="256"/>
      <c r="C27" s="481" t="s">
        <v>417</v>
      </c>
      <c r="D27" s="551">
        <v>8.0</v>
      </c>
      <c r="E27" s="492"/>
      <c r="F27" s="492"/>
      <c r="G27" s="492"/>
      <c r="H27" s="492"/>
      <c r="I27" s="492"/>
    </row>
    <row r="28">
      <c r="B28" s="483"/>
      <c r="C28" s="484" t="s">
        <v>370</v>
      </c>
      <c r="D28" s="553" t="s">
        <v>425</v>
      </c>
      <c r="E28" s="493"/>
      <c r="F28" s="493"/>
      <c r="G28" s="493"/>
      <c r="H28" s="493"/>
      <c r="I28" s="493"/>
    </row>
    <row r="29">
      <c r="B29" s="486" t="s">
        <v>376</v>
      </c>
      <c r="C29" s="478" t="s">
        <v>414</v>
      </c>
      <c r="D29" s="494"/>
      <c r="E29" s="494"/>
      <c r="F29" s="494"/>
      <c r="G29" s="494"/>
      <c r="H29" s="494"/>
      <c r="I29" s="494"/>
    </row>
    <row r="30">
      <c r="B30" s="256"/>
      <c r="C30" s="47" t="s">
        <v>366</v>
      </c>
      <c r="D30" s="491"/>
      <c r="E30" s="491"/>
      <c r="F30" s="491"/>
      <c r="G30" s="491"/>
      <c r="H30" s="491"/>
      <c r="I30" s="491"/>
    </row>
    <row r="31">
      <c r="B31" s="256"/>
      <c r="C31" s="481" t="s">
        <v>417</v>
      </c>
      <c r="D31" s="492"/>
      <c r="E31" s="492"/>
      <c r="F31" s="492"/>
      <c r="G31" s="492"/>
      <c r="H31" s="492"/>
      <c r="I31" s="492"/>
    </row>
    <row r="32">
      <c r="B32" s="483"/>
      <c r="C32" s="484" t="s">
        <v>370</v>
      </c>
      <c r="D32" s="493"/>
      <c r="E32" s="493"/>
      <c r="F32" s="493"/>
      <c r="G32" s="493"/>
      <c r="H32" s="493"/>
      <c r="I32" s="493"/>
    </row>
    <row r="33">
      <c r="D33" s="322"/>
      <c r="E33" s="322"/>
    </row>
    <row r="34">
      <c r="D34" s="322"/>
      <c r="E34" s="322"/>
    </row>
  </sheetData>
  <mergeCells count="9">
    <mergeCell ref="B25:B28"/>
    <mergeCell ref="B29:B32"/>
    <mergeCell ref="B1:I1"/>
    <mergeCell ref="B4:C4"/>
    <mergeCell ref="B5:B8"/>
    <mergeCell ref="B9:B12"/>
    <mergeCell ref="B13:B16"/>
    <mergeCell ref="B17:B20"/>
    <mergeCell ref="B21:B24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23.71"/>
    <col customWidth="1" min="4" max="8" width="14.29"/>
  </cols>
  <sheetData>
    <row r="1">
      <c r="B1" s="473" t="s">
        <v>478</v>
      </c>
    </row>
    <row r="2">
      <c r="D2" s="322"/>
    </row>
    <row r="3">
      <c r="D3" s="322"/>
    </row>
    <row r="4">
      <c r="A4" s="452"/>
      <c r="B4" s="474" t="s">
        <v>358</v>
      </c>
      <c r="C4" s="475"/>
      <c r="D4" s="719" t="s">
        <v>470</v>
      </c>
      <c r="E4" s="720" t="s">
        <v>438</v>
      </c>
      <c r="F4" s="721" t="s">
        <v>431</v>
      </c>
      <c r="G4" s="721" t="s">
        <v>479</v>
      </c>
      <c r="H4" s="722" t="s">
        <v>472</v>
      </c>
    </row>
    <row r="5">
      <c r="B5" s="477" t="s">
        <v>363</v>
      </c>
      <c r="C5" s="478" t="s">
        <v>414</v>
      </c>
      <c r="D5" s="723" t="s">
        <v>365</v>
      </c>
      <c r="E5" s="724" t="s">
        <v>365</v>
      </c>
      <c r="F5" s="724" t="s">
        <v>365</v>
      </c>
      <c r="G5" s="724" t="s">
        <v>365</v>
      </c>
      <c r="H5" s="724" t="s">
        <v>365</v>
      </c>
    </row>
    <row r="6">
      <c r="B6" s="256"/>
      <c r="C6" s="47" t="s">
        <v>366</v>
      </c>
      <c r="D6" s="725" t="s">
        <v>367</v>
      </c>
      <c r="E6" s="549" t="s">
        <v>367</v>
      </c>
      <c r="F6" s="549" t="s">
        <v>367</v>
      </c>
      <c r="G6" s="549" t="s">
        <v>367</v>
      </c>
      <c r="H6" s="549" t="s">
        <v>367</v>
      </c>
    </row>
    <row r="7">
      <c r="B7" s="256"/>
      <c r="C7" s="481" t="s">
        <v>417</v>
      </c>
      <c r="D7" s="726" t="s">
        <v>480</v>
      </c>
      <c r="E7" s="551" t="s">
        <v>480</v>
      </c>
      <c r="F7" s="551" t="s">
        <v>480</v>
      </c>
      <c r="G7" s="551" t="s">
        <v>480</v>
      </c>
      <c r="H7" s="551" t="s">
        <v>480</v>
      </c>
    </row>
    <row r="8">
      <c r="B8" s="483"/>
      <c r="C8" s="484" t="s">
        <v>370</v>
      </c>
      <c r="D8" s="726" t="s">
        <v>481</v>
      </c>
      <c r="E8" s="553" t="s">
        <v>481</v>
      </c>
      <c r="F8" s="553" t="s">
        <v>481</v>
      </c>
      <c r="G8" s="553" t="s">
        <v>481</v>
      </c>
      <c r="H8" s="553" t="s">
        <v>481</v>
      </c>
    </row>
    <row r="9">
      <c r="B9" s="486" t="s">
        <v>371</v>
      </c>
      <c r="C9" s="478" t="s">
        <v>414</v>
      </c>
      <c r="D9" s="727"/>
      <c r="E9" s="728"/>
      <c r="F9" s="487"/>
      <c r="G9" s="487"/>
      <c r="H9" s="487"/>
    </row>
    <row r="10">
      <c r="B10" s="256"/>
      <c r="C10" s="47" t="s">
        <v>366</v>
      </c>
      <c r="D10" s="47"/>
      <c r="E10" s="583"/>
      <c r="F10" s="268"/>
      <c r="G10" s="268"/>
      <c r="H10" s="268"/>
    </row>
    <row r="11">
      <c r="B11" s="256"/>
      <c r="C11" s="481" t="s">
        <v>417</v>
      </c>
      <c r="D11" s="481"/>
      <c r="E11" s="670"/>
      <c r="F11" s="488"/>
      <c r="G11" s="488"/>
      <c r="H11" s="488"/>
    </row>
    <row r="12">
      <c r="B12" s="483"/>
      <c r="C12" s="484" t="s">
        <v>370</v>
      </c>
      <c r="D12" s="729"/>
      <c r="E12" s="677"/>
      <c r="F12" s="489"/>
      <c r="G12" s="489"/>
      <c r="H12" s="489"/>
    </row>
    <row r="13">
      <c r="B13" s="486" t="s">
        <v>372</v>
      </c>
      <c r="C13" s="478" t="s">
        <v>414</v>
      </c>
      <c r="D13" s="730"/>
      <c r="E13" s="490"/>
      <c r="F13" s="490"/>
      <c r="G13" s="490"/>
      <c r="H13" s="490"/>
    </row>
    <row r="14">
      <c r="B14" s="256"/>
      <c r="C14" s="47" t="s">
        <v>366</v>
      </c>
      <c r="D14" s="731"/>
      <c r="E14" s="491"/>
      <c r="F14" s="491"/>
      <c r="G14" s="491"/>
      <c r="H14" s="491"/>
    </row>
    <row r="15">
      <c r="B15" s="256"/>
      <c r="C15" s="481" t="s">
        <v>417</v>
      </c>
      <c r="D15" s="732"/>
      <c r="E15" s="492"/>
      <c r="F15" s="492"/>
      <c r="G15" s="492"/>
      <c r="H15" s="492"/>
    </row>
    <row r="16">
      <c r="B16" s="483"/>
      <c r="C16" s="484" t="s">
        <v>370</v>
      </c>
      <c r="D16" s="733"/>
      <c r="E16" s="493"/>
      <c r="F16" s="493"/>
      <c r="G16" s="493"/>
      <c r="H16" s="493"/>
    </row>
    <row r="17">
      <c r="B17" s="486" t="s">
        <v>373</v>
      </c>
      <c r="C17" s="478" t="s">
        <v>414</v>
      </c>
      <c r="D17" s="727"/>
      <c r="E17" s="487"/>
      <c r="F17" s="487"/>
      <c r="G17" s="657"/>
      <c r="H17" s="718"/>
    </row>
    <row r="18">
      <c r="B18" s="256"/>
      <c r="C18" s="47" t="s">
        <v>366</v>
      </c>
      <c r="D18" s="47"/>
      <c r="E18" s="268"/>
      <c r="F18" s="268"/>
      <c r="G18" s="583"/>
      <c r="H18" s="262"/>
    </row>
    <row r="19">
      <c r="B19" s="256"/>
      <c r="C19" s="481" t="s">
        <v>417</v>
      </c>
      <c r="D19" s="481"/>
      <c r="E19" s="488"/>
      <c r="F19" s="488"/>
      <c r="G19" s="670"/>
      <c r="H19" s="714"/>
    </row>
    <row r="20">
      <c r="B20" s="483"/>
      <c r="C20" s="484" t="s">
        <v>370</v>
      </c>
      <c r="D20" s="729"/>
      <c r="E20" s="489"/>
      <c r="F20" s="489"/>
      <c r="G20" s="677"/>
      <c r="H20" s="716"/>
    </row>
    <row r="21">
      <c r="B21" s="486" t="s">
        <v>374</v>
      </c>
      <c r="C21" s="478" t="s">
        <v>414</v>
      </c>
      <c r="D21" s="734"/>
      <c r="E21" s="657"/>
      <c r="F21" s="657"/>
      <c r="G21" s="487"/>
      <c r="H21" s="487"/>
    </row>
    <row r="22">
      <c r="B22" s="256"/>
      <c r="C22" s="47" t="s">
        <v>366</v>
      </c>
      <c r="D22" s="263"/>
      <c r="E22" s="583"/>
      <c r="F22" s="583"/>
      <c r="G22" s="268"/>
      <c r="H22" s="268"/>
    </row>
    <row r="23">
      <c r="B23" s="256"/>
      <c r="C23" s="481" t="s">
        <v>417</v>
      </c>
      <c r="D23" s="715"/>
      <c r="E23" s="670"/>
      <c r="F23" s="670"/>
      <c r="G23" s="488"/>
      <c r="H23" s="488"/>
    </row>
    <row r="24">
      <c r="B24" s="483"/>
      <c r="C24" s="484" t="s">
        <v>370</v>
      </c>
      <c r="D24" s="700"/>
      <c r="E24" s="677"/>
      <c r="F24" s="677"/>
      <c r="G24" s="489"/>
      <c r="H24" s="489"/>
    </row>
    <row r="25">
      <c r="B25" s="486" t="s">
        <v>375</v>
      </c>
      <c r="C25" s="478" t="s">
        <v>414</v>
      </c>
      <c r="D25" s="735"/>
      <c r="E25" s="494"/>
      <c r="F25" s="494"/>
      <c r="G25" s="494"/>
      <c r="H25" s="494"/>
    </row>
    <row r="26">
      <c r="B26" s="256"/>
      <c r="C26" s="47" t="s">
        <v>366</v>
      </c>
      <c r="D26" s="731"/>
      <c r="E26" s="491"/>
      <c r="F26" s="491"/>
      <c r="G26" s="491"/>
      <c r="H26" s="491"/>
    </row>
    <row r="27">
      <c r="B27" s="256"/>
      <c r="C27" s="481" t="s">
        <v>417</v>
      </c>
      <c r="D27" s="732"/>
      <c r="E27" s="492"/>
      <c r="F27" s="492"/>
      <c r="G27" s="492"/>
      <c r="H27" s="492"/>
    </row>
    <row r="28">
      <c r="B28" s="483"/>
      <c r="C28" s="484" t="s">
        <v>370</v>
      </c>
      <c r="D28" s="733"/>
      <c r="E28" s="493"/>
      <c r="F28" s="493"/>
      <c r="G28" s="493"/>
      <c r="H28" s="493"/>
    </row>
    <row r="29">
      <c r="B29" s="486" t="s">
        <v>376</v>
      </c>
      <c r="C29" s="478" t="s">
        <v>414</v>
      </c>
      <c r="D29" s="735"/>
      <c r="E29" s="494"/>
      <c r="F29" s="494"/>
      <c r="G29" s="494"/>
      <c r="H29" s="494"/>
    </row>
    <row r="30">
      <c r="B30" s="256"/>
      <c r="C30" s="47" t="s">
        <v>366</v>
      </c>
      <c r="D30" s="731"/>
      <c r="E30" s="491"/>
      <c r="F30" s="491"/>
      <c r="G30" s="491"/>
      <c r="H30" s="491"/>
    </row>
    <row r="31">
      <c r="B31" s="256"/>
      <c r="C31" s="481" t="s">
        <v>417</v>
      </c>
      <c r="D31" s="732"/>
      <c r="E31" s="492"/>
      <c r="F31" s="492"/>
      <c r="G31" s="492"/>
      <c r="H31" s="492"/>
    </row>
    <row r="32">
      <c r="B32" s="483"/>
      <c r="C32" s="484" t="s">
        <v>370</v>
      </c>
      <c r="D32" s="731"/>
      <c r="E32" s="491"/>
      <c r="F32" s="491"/>
      <c r="G32" s="491"/>
      <c r="H32" s="491"/>
    </row>
    <row r="33">
      <c r="D33" s="322"/>
    </row>
    <row r="34">
      <c r="D34" s="322"/>
    </row>
  </sheetData>
  <mergeCells count="9">
    <mergeCell ref="B25:B28"/>
    <mergeCell ref="B29:B32"/>
    <mergeCell ref="B1:H1"/>
    <mergeCell ref="B4:C4"/>
    <mergeCell ref="B5:B8"/>
    <mergeCell ref="B9:B12"/>
    <mergeCell ref="B13:B16"/>
    <mergeCell ref="B17:B20"/>
    <mergeCell ref="B21:B24"/>
  </mergeCells>
  <printOptions gridLines="1" horizontalCentered="1"/>
  <pageMargins bottom="0.17112996709822662" footer="0.0" header="0.0" left="0.06417373766183497" right="0.032086868830917485" top="0.14973872121094825"/>
  <pageSetup fitToHeight="0" paperSize="9" cellComments="atEnd" orientation="portrait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18.86"/>
    <col customWidth="1" min="4" max="8" width="13.86"/>
  </cols>
  <sheetData>
    <row r="1">
      <c r="D1" s="322"/>
      <c r="E1" s="322"/>
    </row>
    <row r="2">
      <c r="B2" s="473" t="s">
        <v>482</v>
      </c>
    </row>
    <row r="3">
      <c r="D3" s="322"/>
      <c r="E3" s="322"/>
    </row>
    <row r="4">
      <c r="D4" s="322"/>
      <c r="E4" s="322"/>
    </row>
    <row r="5">
      <c r="A5" s="452"/>
      <c r="B5" s="474" t="s">
        <v>358</v>
      </c>
      <c r="C5" s="475"/>
      <c r="D5" s="476" t="s">
        <v>483</v>
      </c>
      <c r="E5" s="476" t="s">
        <v>484</v>
      </c>
      <c r="F5" s="476" t="s">
        <v>485</v>
      </c>
      <c r="G5" s="476" t="s">
        <v>360</v>
      </c>
      <c r="H5" s="476" t="s">
        <v>359</v>
      </c>
    </row>
    <row r="6">
      <c r="B6" s="477" t="s">
        <v>363</v>
      </c>
      <c r="C6" s="478" t="s">
        <v>364</v>
      </c>
      <c r="D6" s="736"/>
      <c r="E6" s="479" t="s">
        <v>365</v>
      </c>
      <c r="F6" s="737"/>
      <c r="G6" s="737"/>
      <c r="H6" s="737"/>
    </row>
    <row r="7">
      <c r="B7" s="256"/>
      <c r="C7" s="47" t="s">
        <v>366</v>
      </c>
      <c r="D7" s="262"/>
      <c r="E7" s="480" t="s">
        <v>367</v>
      </c>
      <c r="F7" s="738"/>
      <c r="G7" s="738"/>
      <c r="H7" s="738"/>
    </row>
    <row r="8">
      <c r="B8" s="256"/>
      <c r="C8" s="481" t="s">
        <v>368</v>
      </c>
      <c r="D8" s="714"/>
      <c r="E8" s="482" t="s">
        <v>486</v>
      </c>
      <c r="F8" s="739"/>
      <c r="G8" s="739"/>
      <c r="H8" s="739"/>
    </row>
    <row r="9">
      <c r="B9" s="483"/>
      <c r="C9" s="484" t="s">
        <v>370</v>
      </c>
      <c r="D9" s="714"/>
      <c r="E9" s="485" t="s">
        <v>487</v>
      </c>
      <c r="F9" s="739"/>
      <c r="G9" s="739"/>
      <c r="H9" s="739"/>
    </row>
    <row r="10">
      <c r="B10" s="486" t="s">
        <v>371</v>
      </c>
      <c r="C10" s="478" t="s">
        <v>364</v>
      </c>
      <c r="D10" s="479" t="s">
        <v>488</v>
      </c>
      <c r="E10" s="718"/>
      <c r="F10" s="479" t="s">
        <v>488</v>
      </c>
      <c r="G10" s="718"/>
      <c r="H10" s="718"/>
    </row>
    <row r="11">
      <c r="B11" s="256"/>
      <c r="C11" s="47" t="s">
        <v>366</v>
      </c>
      <c r="D11" s="480" t="s">
        <v>447</v>
      </c>
      <c r="E11" s="262"/>
      <c r="F11" s="480" t="s">
        <v>447</v>
      </c>
      <c r="G11" s="262"/>
      <c r="H11" s="262"/>
    </row>
    <row r="12">
      <c r="B12" s="256"/>
      <c r="C12" s="481" t="s">
        <v>368</v>
      </c>
      <c r="D12" s="482" t="s">
        <v>489</v>
      </c>
      <c r="E12" s="714"/>
      <c r="F12" s="482" t="s">
        <v>490</v>
      </c>
      <c r="G12" s="714"/>
      <c r="H12" s="714"/>
    </row>
    <row r="13">
      <c r="B13" s="483"/>
      <c r="C13" s="484" t="s">
        <v>370</v>
      </c>
      <c r="D13" s="485" t="s">
        <v>491</v>
      </c>
      <c r="E13" s="716"/>
      <c r="F13" s="485" t="s">
        <v>492</v>
      </c>
      <c r="G13" s="716"/>
      <c r="H13" s="716"/>
    </row>
    <row r="14">
      <c r="B14" s="486" t="s">
        <v>372</v>
      </c>
      <c r="C14" s="478" t="s">
        <v>364</v>
      </c>
      <c r="D14" s="737"/>
      <c r="E14" s="737"/>
      <c r="F14" s="737"/>
      <c r="G14" s="737"/>
      <c r="H14" s="737"/>
    </row>
    <row r="15">
      <c r="B15" s="256"/>
      <c r="C15" s="47" t="s">
        <v>366</v>
      </c>
      <c r="D15" s="738"/>
      <c r="E15" s="738"/>
      <c r="F15" s="738"/>
      <c r="G15" s="738"/>
      <c r="H15" s="738"/>
    </row>
    <row r="16">
      <c r="B16" s="256"/>
      <c r="C16" s="481" t="s">
        <v>368</v>
      </c>
      <c r="D16" s="739"/>
      <c r="E16" s="739"/>
      <c r="F16" s="739"/>
      <c r="G16" s="739"/>
      <c r="H16" s="739"/>
    </row>
    <row r="17">
      <c r="B17" s="483"/>
      <c r="C17" s="484" t="s">
        <v>370</v>
      </c>
      <c r="D17" s="740"/>
      <c r="E17" s="740"/>
      <c r="F17" s="740"/>
      <c r="G17" s="740"/>
      <c r="H17" s="740"/>
    </row>
    <row r="18">
      <c r="B18" s="486" t="s">
        <v>373</v>
      </c>
      <c r="C18" s="478" t="s">
        <v>364</v>
      </c>
      <c r="D18" s="718"/>
      <c r="E18" s="718"/>
      <c r="F18" s="718"/>
      <c r="G18" s="718"/>
      <c r="H18" s="718"/>
    </row>
    <row r="19">
      <c r="B19" s="256"/>
      <c r="C19" s="47" t="s">
        <v>366</v>
      </c>
      <c r="D19" s="262"/>
      <c r="E19" s="262"/>
      <c r="F19" s="262"/>
      <c r="G19" s="262"/>
      <c r="H19" s="262"/>
    </row>
    <row r="20">
      <c r="B20" s="256"/>
      <c r="C20" s="481" t="s">
        <v>368</v>
      </c>
      <c r="D20" s="714"/>
      <c r="E20" s="714"/>
      <c r="F20" s="714"/>
      <c r="G20" s="714"/>
      <c r="H20" s="714"/>
    </row>
    <row r="21">
      <c r="B21" s="483"/>
      <c r="C21" s="484" t="s">
        <v>370</v>
      </c>
      <c r="D21" s="716"/>
      <c r="E21" s="716"/>
      <c r="F21" s="716"/>
      <c r="G21" s="716"/>
      <c r="H21" s="716"/>
    </row>
    <row r="22">
      <c r="B22" s="486" t="s">
        <v>374</v>
      </c>
      <c r="C22" s="478" t="s">
        <v>364</v>
      </c>
      <c r="D22" s="718"/>
      <c r="E22" s="718"/>
      <c r="F22" s="479" t="s">
        <v>493</v>
      </c>
      <c r="G22" s="718"/>
      <c r="H22" s="718"/>
    </row>
    <row r="23">
      <c r="B23" s="256"/>
      <c r="C23" s="47" t="s">
        <v>366</v>
      </c>
      <c r="D23" s="262"/>
      <c r="E23" s="262"/>
      <c r="F23" s="480" t="s">
        <v>419</v>
      </c>
      <c r="G23" s="262"/>
      <c r="H23" s="262"/>
    </row>
    <row r="24">
      <c r="B24" s="256"/>
      <c r="C24" s="481" t="s">
        <v>368</v>
      </c>
      <c r="D24" s="714"/>
      <c r="E24" s="714"/>
      <c r="F24" s="482" t="s">
        <v>490</v>
      </c>
      <c r="G24" s="714"/>
      <c r="H24" s="714"/>
    </row>
    <row r="25">
      <c r="B25" s="483"/>
      <c r="C25" s="484" t="s">
        <v>370</v>
      </c>
      <c r="D25" s="716"/>
      <c r="E25" s="716"/>
      <c r="F25" s="485" t="s">
        <v>494</v>
      </c>
      <c r="G25" s="716"/>
      <c r="H25" s="716"/>
    </row>
    <row r="26">
      <c r="B26" s="486" t="s">
        <v>375</v>
      </c>
      <c r="C26" s="478" t="s">
        <v>364</v>
      </c>
      <c r="D26" s="479" t="s">
        <v>495</v>
      </c>
      <c r="E26" s="741"/>
      <c r="F26" s="741"/>
      <c r="G26" s="741"/>
      <c r="H26" s="741"/>
    </row>
    <row r="27">
      <c r="B27" s="256"/>
      <c r="C27" s="47" t="s">
        <v>366</v>
      </c>
      <c r="D27" s="480" t="s">
        <v>425</v>
      </c>
      <c r="E27" s="738"/>
      <c r="F27" s="738"/>
      <c r="G27" s="738"/>
      <c r="H27" s="738"/>
    </row>
    <row r="28">
      <c r="B28" s="256"/>
      <c r="C28" s="481" t="s">
        <v>368</v>
      </c>
      <c r="D28" s="482" t="s">
        <v>489</v>
      </c>
      <c r="E28" s="739"/>
      <c r="F28" s="739"/>
      <c r="G28" s="739"/>
      <c r="H28" s="739"/>
    </row>
    <row r="29">
      <c r="B29" s="483"/>
      <c r="C29" s="484" t="s">
        <v>370</v>
      </c>
      <c r="D29" s="485" t="s">
        <v>496</v>
      </c>
      <c r="E29" s="740"/>
      <c r="F29" s="740"/>
      <c r="G29" s="740"/>
      <c r="H29" s="740"/>
    </row>
    <row r="30">
      <c r="B30" s="486" t="s">
        <v>376</v>
      </c>
      <c r="C30" s="478" t="s">
        <v>364</v>
      </c>
      <c r="D30" s="741"/>
      <c r="E30" s="741"/>
      <c r="F30" s="741"/>
      <c r="G30" s="479" t="s">
        <v>497</v>
      </c>
      <c r="H30" s="479" t="s">
        <v>497</v>
      </c>
    </row>
    <row r="31">
      <c r="B31" s="256"/>
      <c r="C31" s="47" t="s">
        <v>366</v>
      </c>
      <c r="D31" s="738"/>
      <c r="E31" s="738"/>
      <c r="F31" s="738"/>
      <c r="G31" s="480" t="s">
        <v>448</v>
      </c>
      <c r="H31" s="480" t="s">
        <v>448</v>
      </c>
    </row>
    <row r="32">
      <c r="B32" s="256"/>
      <c r="C32" s="481" t="s">
        <v>368</v>
      </c>
      <c r="D32" s="739"/>
      <c r="E32" s="739"/>
      <c r="F32" s="739"/>
      <c r="G32" s="482" t="s">
        <v>498</v>
      </c>
      <c r="H32" s="482" t="s">
        <v>498</v>
      </c>
    </row>
    <row r="33">
      <c r="B33" s="483"/>
      <c r="C33" s="484" t="s">
        <v>370</v>
      </c>
      <c r="D33" s="740"/>
      <c r="E33" s="740"/>
      <c r="F33" s="740"/>
      <c r="G33" s="485" t="s">
        <v>425</v>
      </c>
      <c r="H33" s="485" t="s">
        <v>425</v>
      </c>
    </row>
    <row r="34">
      <c r="D34" s="322"/>
      <c r="E34" s="322"/>
    </row>
    <row r="35">
      <c r="D35" s="322"/>
      <c r="E35" s="322"/>
    </row>
  </sheetData>
  <mergeCells count="9">
    <mergeCell ref="B26:B29"/>
    <mergeCell ref="B30:B33"/>
    <mergeCell ref="B2:H2"/>
    <mergeCell ref="B5:C5"/>
    <mergeCell ref="B6:B9"/>
    <mergeCell ref="B10:B13"/>
    <mergeCell ref="B14:B17"/>
    <mergeCell ref="B18:B21"/>
    <mergeCell ref="B22:B2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2.29"/>
    <col customWidth="1" min="3" max="3" width="18.86"/>
    <col customWidth="1" min="4" max="4" width="9.71"/>
    <col customWidth="1" min="5" max="5" width="12.14"/>
    <col customWidth="1" min="6" max="6" width="14.71"/>
    <col customWidth="1" min="7" max="7" width="13.14"/>
    <col customWidth="1" min="8" max="8" width="10.14"/>
    <col customWidth="1" min="9" max="9" width="10.57"/>
    <col customWidth="1" min="10" max="10" width="11.29"/>
    <col customWidth="1" min="11" max="14" width="10.57"/>
    <col customWidth="1" min="15" max="15" width="10.29"/>
    <col customWidth="1" min="16" max="16" width="11.29"/>
  </cols>
  <sheetData>
    <row r="1">
      <c r="D1" s="322"/>
      <c r="E1" s="322"/>
    </row>
    <row r="2">
      <c r="B2" s="472" t="s">
        <v>460</v>
      </c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</row>
    <row r="3">
      <c r="D3" s="322"/>
      <c r="E3" s="322"/>
    </row>
    <row r="4">
      <c r="D4" s="322"/>
      <c r="E4" s="322"/>
    </row>
    <row r="5">
      <c r="A5" s="452"/>
      <c r="B5" s="474" t="s">
        <v>358</v>
      </c>
      <c r="C5" s="475"/>
      <c r="D5" s="476" t="s">
        <v>462</v>
      </c>
      <c r="E5" s="476"/>
      <c r="F5" s="476"/>
      <c r="G5" s="476"/>
      <c r="H5" s="476"/>
      <c r="I5" s="476"/>
      <c r="J5" s="476"/>
      <c r="K5" s="476"/>
      <c r="L5" s="476"/>
      <c r="M5" s="476"/>
      <c r="N5" s="476"/>
      <c r="O5" s="476"/>
      <c r="P5" s="476"/>
    </row>
    <row r="6">
      <c r="B6" s="477" t="s">
        <v>363</v>
      </c>
      <c r="C6" s="478" t="s">
        <v>364</v>
      </c>
      <c r="D6" s="264"/>
      <c r="E6" s="490"/>
      <c r="F6" s="490"/>
      <c r="G6" s="490"/>
      <c r="H6" s="490"/>
      <c r="I6" s="490"/>
      <c r="J6" s="490"/>
      <c r="K6" s="490"/>
      <c r="L6" s="490"/>
      <c r="M6" s="490"/>
      <c r="N6" s="490"/>
      <c r="O6" s="490"/>
      <c r="P6" s="490"/>
    </row>
    <row r="7">
      <c r="B7" s="256"/>
      <c r="C7" s="47" t="s">
        <v>366</v>
      </c>
      <c r="D7" s="268"/>
      <c r="E7" s="491"/>
      <c r="F7" s="491"/>
      <c r="G7" s="491"/>
      <c r="H7" s="491"/>
      <c r="I7" s="491"/>
      <c r="J7" s="491"/>
      <c r="K7" s="491"/>
      <c r="L7" s="491"/>
      <c r="M7" s="491"/>
      <c r="N7" s="491"/>
      <c r="O7" s="491"/>
      <c r="P7" s="491"/>
    </row>
    <row r="8">
      <c r="B8" s="256"/>
      <c r="C8" s="481" t="s">
        <v>368</v>
      </c>
      <c r="D8" s="488"/>
      <c r="E8" s="492"/>
      <c r="F8" s="492"/>
      <c r="G8" s="492"/>
      <c r="H8" s="492"/>
      <c r="I8" s="492"/>
      <c r="J8" s="492"/>
      <c r="K8" s="492"/>
      <c r="L8" s="492"/>
      <c r="M8" s="492"/>
      <c r="N8" s="492"/>
      <c r="O8" s="492"/>
      <c r="P8" s="492"/>
    </row>
    <row r="9">
      <c r="B9" s="483"/>
      <c r="C9" s="484" t="s">
        <v>370</v>
      </c>
      <c r="D9" s="488"/>
      <c r="E9" s="492"/>
      <c r="F9" s="492"/>
      <c r="G9" s="492"/>
      <c r="H9" s="492"/>
      <c r="I9" s="492"/>
      <c r="J9" s="492"/>
      <c r="K9" s="492"/>
      <c r="L9" s="492"/>
      <c r="M9" s="492"/>
      <c r="N9" s="492"/>
      <c r="O9" s="492"/>
      <c r="P9" s="492"/>
    </row>
    <row r="10">
      <c r="B10" s="486" t="s">
        <v>371</v>
      </c>
      <c r="C10" s="478" t="s">
        <v>364</v>
      </c>
      <c r="D10" s="487"/>
      <c r="E10" s="487"/>
      <c r="F10" s="487"/>
      <c r="G10" s="487"/>
      <c r="H10" s="487"/>
      <c r="I10" s="487"/>
      <c r="J10" s="487"/>
      <c r="K10" s="487"/>
      <c r="L10" s="487"/>
      <c r="M10" s="487"/>
      <c r="N10" s="487"/>
      <c r="O10" s="487"/>
      <c r="P10" s="487"/>
    </row>
    <row r="11">
      <c r="B11" s="256"/>
      <c r="C11" s="47" t="s">
        <v>366</v>
      </c>
      <c r="D11" s="268"/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</row>
    <row r="12">
      <c r="B12" s="256"/>
      <c r="C12" s="481" t="s">
        <v>368</v>
      </c>
      <c r="D12" s="488"/>
      <c r="E12" s="488"/>
      <c r="F12" s="488"/>
      <c r="G12" s="488"/>
      <c r="H12" s="488"/>
      <c r="I12" s="488"/>
      <c r="J12" s="488"/>
      <c r="K12" s="488"/>
      <c r="L12" s="488"/>
      <c r="M12" s="488"/>
      <c r="N12" s="488"/>
      <c r="O12" s="488"/>
      <c r="P12" s="488"/>
    </row>
    <row r="13">
      <c r="B13" s="483"/>
      <c r="C13" s="484" t="s">
        <v>370</v>
      </c>
      <c r="D13" s="489"/>
      <c r="E13" s="489"/>
      <c r="F13" s="489"/>
      <c r="G13" s="489"/>
      <c r="H13" s="489"/>
      <c r="I13" s="489"/>
      <c r="J13" s="489"/>
      <c r="K13" s="489"/>
      <c r="L13" s="489"/>
      <c r="M13" s="489"/>
      <c r="N13" s="489"/>
      <c r="O13" s="489"/>
      <c r="P13" s="489"/>
    </row>
    <row r="14">
      <c r="B14" s="486" t="s">
        <v>372</v>
      </c>
      <c r="C14" s="478" t="s">
        <v>364</v>
      </c>
      <c r="D14" s="490"/>
      <c r="E14" s="490"/>
      <c r="F14" s="490"/>
      <c r="G14" s="490"/>
      <c r="H14" s="490"/>
      <c r="I14" s="490"/>
      <c r="J14" s="490"/>
      <c r="K14" s="490"/>
      <c r="L14" s="490"/>
      <c r="M14" s="490"/>
      <c r="N14" s="490"/>
      <c r="O14" s="490"/>
      <c r="P14" s="490"/>
    </row>
    <row r="15">
      <c r="B15" s="256"/>
      <c r="C15" s="47" t="s">
        <v>366</v>
      </c>
      <c r="D15" s="491"/>
      <c r="E15" s="491"/>
      <c r="F15" s="491"/>
      <c r="G15" s="491"/>
      <c r="H15" s="491"/>
      <c r="I15" s="491"/>
      <c r="J15" s="491"/>
      <c r="K15" s="491"/>
      <c r="L15" s="491"/>
      <c r="M15" s="491"/>
      <c r="N15" s="491"/>
      <c r="O15" s="491"/>
      <c r="P15" s="491"/>
    </row>
    <row r="16">
      <c r="B16" s="256"/>
      <c r="C16" s="481" t="s">
        <v>368</v>
      </c>
      <c r="D16" s="492"/>
      <c r="E16" s="492"/>
      <c r="F16" s="492"/>
      <c r="G16" s="492"/>
      <c r="H16" s="492"/>
      <c r="I16" s="492"/>
      <c r="J16" s="492"/>
      <c r="K16" s="492"/>
      <c r="L16" s="492"/>
      <c r="M16" s="492"/>
      <c r="N16" s="492"/>
      <c r="O16" s="492"/>
      <c r="P16" s="492"/>
    </row>
    <row r="17">
      <c r="B17" s="483"/>
      <c r="C17" s="484" t="s">
        <v>370</v>
      </c>
      <c r="D17" s="493"/>
      <c r="E17" s="493"/>
      <c r="F17" s="493"/>
      <c r="G17" s="493"/>
      <c r="H17" s="493"/>
      <c r="I17" s="493"/>
      <c r="J17" s="493"/>
      <c r="K17" s="493"/>
      <c r="L17" s="493"/>
      <c r="M17" s="493"/>
      <c r="N17" s="493"/>
      <c r="O17" s="493"/>
      <c r="P17" s="493"/>
    </row>
    <row r="18">
      <c r="B18" s="486" t="s">
        <v>373</v>
      </c>
      <c r="C18" s="478" t="s">
        <v>364</v>
      </c>
      <c r="D18" s="487"/>
      <c r="E18" s="487"/>
      <c r="F18" s="487"/>
      <c r="G18" s="487"/>
      <c r="H18" s="487"/>
      <c r="I18" s="487"/>
      <c r="J18" s="487"/>
      <c r="K18" s="487"/>
      <c r="L18" s="487"/>
      <c r="M18" s="487"/>
      <c r="N18" s="487"/>
      <c r="O18" s="487"/>
      <c r="P18" s="487"/>
    </row>
    <row r="19">
      <c r="B19" s="256"/>
      <c r="C19" s="47" t="s">
        <v>366</v>
      </c>
      <c r="D19" s="268"/>
      <c r="E19" s="26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</row>
    <row r="20">
      <c r="B20" s="256"/>
      <c r="C20" s="481" t="s">
        <v>368</v>
      </c>
      <c r="D20" s="488"/>
      <c r="E20" s="488"/>
      <c r="F20" s="488"/>
      <c r="G20" s="488"/>
      <c r="H20" s="488"/>
      <c r="I20" s="488"/>
      <c r="J20" s="488"/>
      <c r="K20" s="488"/>
      <c r="L20" s="488"/>
      <c r="M20" s="488"/>
      <c r="N20" s="488"/>
      <c r="O20" s="488"/>
      <c r="P20" s="488"/>
    </row>
    <row r="21">
      <c r="B21" s="483"/>
      <c r="C21" s="484" t="s">
        <v>370</v>
      </c>
      <c r="D21" s="489"/>
      <c r="E21" s="489"/>
      <c r="F21" s="489"/>
      <c r="G21" s="489"/>
      <c r="H21" s="489"/>
      <c r="I21" s="489"/>
      <c r="J21" s="489"/>
      <c r="K21" s="489"/>
      <c r="L21" s="489"/>
      <c r="M21" s="489"/>
      <c r="N21" s="489"/>
      <c r="O21" s="489"/>
      <c r="P21" s="489"/>
    </row>
    <row r="22">
      <c r="B22" s="486" t="s">
        <v>374</v>
      </c>
      <c r="C22" s="478" t="s">
        <v>364</v>
      </c>
      <c r="D22" s="487"/>
      <c r="E22" s="487"/>
      <c r="F22" s="487"/>
      <c r="G22" s="487"/>
      <c r="H22" s="487"/>
      <c r="I22" s="487"/>
      <c r="J22" s="487"/>
      <c r="K22" s="487"/>
      <c r="L22" s="487"/>
      <c r="M22" s="487"/>
      <c r="N22" s="487"/>
      <c r="O22" s="487"/>
      <c r="P22" s="487"/>
    </row>
    <row r="23">
      <c r="B23" s="256"/>
      <c r="C23" s="47" t="s">
        <v>366</v>
      </c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</row>
    <row r="24">
      <c r="B24" s="256"/>
      <c r="C24" s="481" t="s">
        <v>368</v>
      </c>
      <c r="D24" s="488"/>
      <c r="E24" s="488"/>
      <c r="F24" s="488"/>
      <c r="G24" s="488"/>
      <c r="H24" s="488"/>
      <c r="I24" s="488"/>
      <c r="J24" s="488"/>
      <c r="K24" s="488"/>
      <c r="L24" s="488"/>
      <c r="M24" s="488"/>
      <c r="N24" s="488"/>
      <c r="O24" s="488"/>
      <c r="P24" s="488"/>
    </row>
    <row r="25">
      <c r="B25" s="483"/>
      <c r="C25" s="484" t="s">
        <v>370</v>
      </c>
      <c r="D25" s="489"/>
      <c r="E25" s="489"/>
      <c r="F25" s="489"/>
      <c r="G25" s="489"/>
      <c r="H25" s="489"/>
      <c r="I25" s="489"/>
      <c r="J25" s="489"/>
      <c r="K25" s="489"/>
      <c r="L25" s="489"/>
      <c r="M25" s="489"/>
      <c r="N25" s="489"/>
      <c r="O25" s="489"/>
      <c r="P25" s="489"/>
    </row>
    <row r="26">
      <c r="B26" s="486" t="s">
        <v>375</v>
      </c>
      <c r="C26" s="478" t="s">
        <v>364</v>
      </c>
      <c r="D26" s="494"/>
      <c r="E26" s="494"/>
      <c r="F26" s="494"/>
      <c r="G26" s="494"/>
      <c r="H26" s="494"/>
      <c r="I26" s="494"/>
      <c r="J26" s="494"/>
      <c r="K26" s="494"/>
      <c r="L26" s="494"/>
      <c r="M26" s="494"/>
      <c r="N26" s="494"/>
      <c r="O26" s="494"/>
      <c r="P26" s="494"/>
    </row>
    <row r="27">
      <c r="B27" s="256"/>
      <c r="C27" s="47" t="s">
        <v>366</v>
      </c>
      <c r="D27" s="491"/>
      <c r="E27" s="491"/>
      <c r="F27" s="491"/>
      <c r="G27" s="491"/>
      <c r="H27" s="491"/>
      <c r="I27" s="491"/>
      <c r="J27" s="491"/>
      <c r="K27" s="491"/>
      <c r="L27" s="491"/>
      <c r="M27" s="491"/>
      <c r="N27" s="491"/>
      <c r="O27" s="491"/>
      <c r="P27" s="491"/>
    </row>
    <row r="28">
      <c r="B28" s="256"/>
      <c r="C28" s="481" t="s">
        <v>368</v>
      </c>
      <c r="D28" s="492"/>
      <c r="E28" s="492"/>
      <c r="F28" s="492"/>
      <c r="G28" s="492"/>
      <c r="H28" s="492"/>
      <c r="I28" s="492"/>
      <c r="J28" s="492"/>
      <c r="K28" s="492"/>
      <c r="L28" s="492"/>
      <c r="M28" s="492"/>
      <c r="N28" s="492"/>
      <c r="O28" s="492"/>
      <c r="P28" s="492"/>
    </row>
    <row r="29">
      <c r="B29" s="483"/>
      <c r="C29" s="484" t="s">
        <v>370</v>
      </c>
      <c r="D29" s="493"/>
      <c r="E29" s="493"/>
      <c r="F29" s="493"/>
      <c r="G29" s="493"/>
      <c r="H29" s="493"/>
      <c r="I29" s="493"/>
      <c r="J29" s="493"/>
      <c r="K29" s="493"/>
      <c r="L29" s="493"/>
      <c r="M29" s="493"/>
      <c r="N29" s="493"/>
      <c r="O29" s="493"/>
      <c r="P29" s="493"/>
    </row>
    <row r="30">
      <c r="B30" s="486" t="s">
        <v>376</v>
      </c>
      <c r="C30" s="478" t="s">
        <v>364</v>
      </c>
      <c r="D30" s="494"/>
      <c r="E30" s="494"/>
      <c r="F30" s="494"/>
      <c r="G30" s="494"/>
      <c r="H30" s="494"/>
      <c r="I30" s="494"/>
      <c r="J30" s="494"/>
      <c r="K30" s="494"/>
      <c r="L30" s="494"/>
      <c r="M30" s="494"/>
      <c r="N30" s="494"/>
      <c r="O30" s="494"/>
      <c r="P30" s="494"/>
    </row>
    <row r="31">
      <c r="B31" s="256"/>
      <c r="C31" s="47" t="s">
        <v>366</v>
      </c>
      <c r="D31" s="491"/>
      <c r="E31" s="491"/>
      <c r="F31" s="491"/>
      <c r="G31" s="491"/>
      <c r="H31" s="491"/>
      <c r="I31" s="491"/>
      <c r="J31" s="491"/>
      <c r="K31" s="491"/>
      <c r="L31" s="491"/>
      <c r="M31" s="491"/>
      <c r="N31" s="491"/>
      <c r="O31" s="491"/>
      <c r="P31" s="491"/>
    </row>
    <row r="32">
      <c r="B32" s="256"/>
      <c r="C32" s="481" t="s">
        <v>368</v>
      </c>
      <c r="D32" s="492"/>
      <c r="E32" s="492"/>
      <c r="F32" s="492"/>
      <c r="G32" s="492"/>
      <c r="H32" s="492"/>
      <c r="I32" s="492"/>
      <c r="J32" s="492"/>
      <c r="K32" s="492"/>
      <c r="L32" s="492"/>
      <c r="M32" s="492"/>
      <c r="N32" s="492"/>
      <c r="O32" s="492"/>
      <c r="P32" s="492"/>
    </row>
    <row r="33">
      <c r="B33" s="483"/>
      <c r="C33" s="484" t="s">
        <v>370</v>
      </c>
      <c r="D33" s="493"/>
      <c r="E33" s="493"/>
      <c r="F33" s="493"/>
      <c r="G33" s="493"/>
      <c r="H33" s="493"/>
      <c r="I33" s="493"/>
      <c r="J33" s="493"/>
      <c r="K33" s="493"/>
      <c r="L33" s="493"/>
      <c r="M33" s="493"/>
      <c r="N33" s="493"/>
      <c r="O33" s="493"/>
      <c r="P33" s="493"/>
    </row>
    <row r="34">
      <c r="D34" s="322"/>
      <c r="E34" s="322"/>
    </row>
    <row r="35">
      <c r="D35" s="322"/>
      <c r="E35" s="322"/>
    </row>
  </sheetData>
  <mergeCells count="8">
    <mergeCell ref="B5:C5"/>
    <mergeCell ref="B6:B9"/>
    <mergeCell ref="B10:B13"/>
    <mergeCell ref="B14:B17"/>
    <mergeCell ref="B18:B21"/>
    <mergeCell ref="B22:B25"/>
    <mergeCell ref="B26:B29"/>
    <mergeCell ref="B30:B3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3.71"/>
    <col customWidth="1" min="2" max="2" width="3.14"/>
    <col customWidth="1" min="3" max="3" width="51.71"/>
    <col customWidth="1" min="4" max="7" width="14.0"/>
    <col customWidth="1" min="8" max="8" width="3.14"/>
  </cols>
  <sheetData>
    <row r="2">
      <c r="C2" s="54" t="s">
        <v>285</v>
      </c>
    </row>
    <row r="3">
      <c r="C3" s="242" t="s">
        <v>499</v>
      </c>
    </row>
    <row r="4">
      <c r="C4" s="242" t="s">
        <v>154</v>
      </c>
    </row>
    <row r="6">
      <c r="D6" s="742" t="s">
        <v>162</v>
      </c>
      <c r="E6" s="57"/>
      <c r="F6" s="743" t="s">
        <v>163</v>
      </c>
      <c r="G6" s="57"/>
    </row>
    <row r="7">
      <c r="B7" s="253"/>
      <c r="C7" s="254" t="s">
        <v>166</v>
      </c>
      <c r="D7" s="744" t="s">
        <v>167</v>
      </c>
      <c r="E7" s="745"/>
      <c r="F7" s="744" t="s">
        <v>167</v>
      </c>
      <c r="G7" s="745"/>
    </row>
    <row r="8">
      <c r="B8" s="256"/>
      <c r="C8" s="257"/>
      <c r="D8" s="258" t="s">
        <v>168</v>
      </c>
      <c r="E8" s="259">
        <v>32.0</v>
      </c>
      <c r="F8" s="260" t="s">
        <v>168</v>
      </c>
      <c r="G8" s="259">
        <f>E8</f>
        <v>32</v>
      </c>
    </row>
    <row r="9">
      <c r="B9" s="261"/>
      <c r="C9" s="88"/>
      <c r="D9" s="262" t="s">
        <v>169</v>
      </c>
      <c r="E9" s="263" t="s">
        <v>170</v>
      </c>
      <c r="F9" s="262" t="s">
        <v>169</v>
      </c>
      <c r="G9" s="263" t="s">
        <v>170</v>
      </c>
    </row>
    <row r="10">
      <c r="B10" s="268">
        <v>1.0</v>
      </c>
      <c r="C10" s="269" t="s">
        <v>500</v>
      </c>
      <c r="D10" s="266">
        <v>1230.0</v>
      </c>
      <c r="E10" s="276">
        <f>D10*E8</f>
        <v>39360</v>
      </c>
      <c r="F10" s="266">
        <v>1450.0</v>
      </c>
      <c r="G10" s="276">
        <f>F10*G8</f>
        <v>46400</v>
      </c>
    </row>
    <row r="11">
      <c r="B11" s="268">
        <v>2.0</v>
      </c>
      <c r="C11" s="269" t="s">
        <v>173</v>
      </c>
      <c r="D11" s="270"/>
      <c r="E11" s="267">
        <v>5740.0</v>
      </c>
      <c r="F11" s="270"/>
      <c r="G11" s="267">
        <v>5740.0</v>
      </c>
    </row>
    <row r="12">
      <c r="B12" s="268">
        <v>3.0</v>
      </c>
      <c r="C12" s="269" t="s">
        <v>174</v>
      </c>
      <c r="D12" s="266">
        <v>150.0</v>
      </c>
      <c r="E12" s="276">
        <f>D12*E8</f>
        <v>4800</v>
      </c>
      <c r="F12" s="266">
        <v>150.0</v>
      </c>
      <c r="G12" s="276">
        <f>F12*G8</f>
        <v>4800</v>
      </c>
    </row>
    <row r="13">
      <c r="B13" s="268"/>
      <c r="C13" s="274"/>
      <c r="D13" s="270"/>
      <c r="E13" s="275"/>
      <c r="F13" s="270"/>
      <c r="G13" s="275"/>
    </row>
    <row r="14">
      <c r="B14" s="268"/>
      <c r="C14" s="269" t="s">
        <v>203</v>
      </c>
      <c r="D14" s="270"/>
      <c r="E14" s="267">
        <f>SUM(E15:E25)</f>
        <v>11090</v>
      </c>
      <c r="F14" s="270"/>
      <c r="G14" s="267">
        <f>SUM(G15:G25)</f>
        <v>11090</v>
      </c>
    </row>
    <row r="15">
      <c r="B15" s="268">
        <v>4.0</v>
      </c>
      <c r="C15" s="274" t="s">
        <v>501</v>
      </c>
      <c r="D15" s="270"/>
      <c r="E15" s="277">
        <v>3000.0</v>
      </c>
      <c r="F15" s="270"/>
      <c r="G15" s="277">
        <v>3000.0</v>
      </c>
    </row>
    <row r="16">
      <c r="B16" s="268">
        <v>5.0</v>
      </c>
      <c r="C16" s="274" t="s">
        <v>502</v>
      </c>
      <c r="D16" s="270"/>
      <c r="E16" s="277">
        <v>1500.0</v>
      </c>
      <c r="F16" s="270"/>
      <c r="G16" s="277">
        <v>1500.0</v>
      </c>
    </row>
    <row r="17">
      <c r="B17" s="268">
        <v>6.0</v>
      </c>
      <c r="C17" s="274" t="s">
        <v>503</v>
      </c>
      <c r="D17" s="270"/>
      <c r="E17" s="277">
        <v>30.0</v>
      </c>
      <c r="F17" s="270"/>
      <c r="G17" s="277">
        <v>30.0</v>
      </c>
    </row>
    <row r="18">
      <c r="B18" s="268">
        <v>7.0</v>
      </c>
      <c r="C18" s="274" t="s">
        <v>504</v>
      </c>
      <c r="D18" s="270"/>
      <c r="E18" s="277">
        <v>1000.0</v>
      </c>
      <c r="F18" s="270"/>
      <c r="G18" s="277">
        <v>1000.0</v>
      </c>
    </row>
    <row r="19">
      <c r="B19" s="268">
        <v>8.0</v>
      </c>
      <c r="C19" s="274" t="s">
        <v>505</v>
      </c>
      <c r="D19" s="270"/>
      <c r="E19" s="277">
        <v>260.0</v>
      </c>
      <c r="F19" s="270"/>
      <c r="G19" s="277">
        <v>260.0</v>
      </c>
    </row>
    <row r="20">
      <c r="B20" s="268">
        <v>9.0</v>
      </c>
      <c r="C20" s="274" t="s">
        <v>506</v>
      </c>
      <c r="D20" s="270"/>
      <c r="E20" s="275"/>
      <c r="F20" s="270"/>
      <c r="G20" s="275"/>
    </row>
    <row r="21">
      <c r="B21" s="268">
        <v>10.0</v>
      </c>
      <c r="C21" s="274" t="s">
        <v>507</v>
      </c>
      <c r="D21" s="270"/>
      <c r="E21" s="275"/>
      <c r="F21" s="270"/>
      <c r="G21" s="275"/>
    </row>
    <row r="22">
      <c r="B22" s="268">
        <v>11.0</v>
      </c>
      <c r="C22" s="274" t="s">
        <v>508</v>
      </c>
      <c r="D22" s="270"/>
      <c r="E22" s="277">
        <v>700.0</v>
      </c>
      <c r="F22" s="270"/>
      <c r="G22" s="277">
        <v>700.0</v>
      </c>
    </row>
    <row r="23">
      <c r="B23" s="268">
        <v>12.0</v>
      </c>
      <c r="C23" s="274" t="s">
        <v>509</v>
      </c>
      <c r="D23" s="270"/>
      <c r="E23" s="277">
        <v>500.0</v>
      </c>
      <c r="F23" s="270"/>
      <c r="G23" s="277">
        <v>500.0</v>
      </c>
    </row>
    <row r="24">
      <c r="B24" s="268">
        <v>12.0</v>
      </c>
      <c r="C24" s="274" t="s">
        <v>510</v>
      </c>
      <c r="D24" s="270"/>
      <c r="E24" s="277">
        <v>1500.0</v>
      </c>
      <c r="F24" s="270"/>
      <c r="G24" s="277">
        <v>1500.0</v>
      </c>
    </row>
    <row r="25">
      <c r="B25" s="268">
        <v>13.0</v>
      </c>
      <c r="C25" s="274" t="s">
        <v>511</v>
      </c>
      <c r="D25" s="270"/>
      <c r="E25" s="277">
        <v>2600.0</v>
      </c>
      <c r="F25" s="270"/>
      <c r="G25" s="277">
        <v>2600.0</v>
      </c>
    </row>
    <row r="26">
      <c r="B26" s="268"/>
      <c r="C26" s="274"/>
      <c r="D26" s="270"/>
      <c r="E26" s="275"/>
      <c r="F26" s="270"/>
      <c r="G26" s="275"/>
    </row>
    <row r="27">
      <c r="B27" s="268"/>
      <c r="C27" s="269" t="s">
        <v>512</v>
      </c>
      <c r="D27" s="290"/>
      <c r="E27" s="267">
        <f>SUM(E28:E31)</f>
        <v>13733</v>
      </c>
      <c r="F27" s="290"/>
      <c r="G27" s="267">
        <f>SUM(G28:G31)</f>
        <v>13733</v>
      </c>
    </row>
    <row r="28">
      <c r="B28" s="268">
        <v>14.0</v>
      </c>
      <c r="C28" s="269" t="s">
        <v>513</v>
      </c>
      <c r="D28" s="290"/>
      <c r="E28" s="277">
        <v>12000.0</v>
      </c>
      <c r="F28" s="290"/>
      <c r="G28" s="277">
        <v>12000.0</v>
      </c>
    </row>
    <row r="29">
      <c r="B29" s="268">
        <v>15.0</v>
      </c>
      <c r="C29" s="274" t="s">
        <v>514</v>
      </c>
      <c r="D29" s="270"/>
      <c r="E29" s="277">
        <v>130.0</v>
      </c>
      <c r="F29" s="270"/>
      <c r="G29" s="277">
        <v>130.0</v>
      </c>
    </row>
    <row r="30">
      <c r="B30" s="268">
        <v>16.0</v>
      </c>
      <c r="C30" s="274" t="s">
        <v>189</v>
      </c>
      <c r="D30" s="270"/>
      <c r="E30" s="277">
        <v>800.0</v>
      </c>
      <c r="F30" s="270"/>
      <c r="G30" s="277">
        <v>800.0</v>
      </c>
    </row>
    <row r="31">
      <c r="B31" s="268">
        <v>17.0</v>
      </c>
      <c r="C31" s="274" t="s">
        <v>190</v>
      </c>
      <c r="D31" s="270"/>
      <c r="E31" s="277">
        <v>803.0</v>
      </c>
      <c r="F31" s="270"/>
      <c r="G31" s="277">
        <v>803.0</v>
      </c>
    </row>
    <row r="32">
      <c r="B32" s="268"/>
      <c r="C32" s="698"/>
      <c r="D32" s="270"/>
      <c r="E32" s="275"/>
      <c r="F32" s="270"/>
      <c r="G32" s="275"/>
    </row>
    <row r="33">
      <c r="B33" s="493"/>
      <c r="C33" s="746" t="s">
        <v>196</v>
      </c>
      <c r="D33" s="747"/>
      <c r="E33" s="748">
        <f>E27+E14+E10+E11+E12</f>
        <v>74723</v>
      </c>
      <c r="F33" s="747"/>
      <c r="G33" s="748">
        <f>G27+G14+G10+G11+G12</f>
        <v>81763</v>
      </c>
    </row>
    <row r="34">
      <c r="C34" s="300" t="s">
        <v>197</v>
      </c>
      <c r="E34" s="301">
        <v>75000.0</v>
      </c>
      <c r="G34" s="301">
        <v>82000.0</v>
      </c>
    </row>
  </sheetData>
  <mergeCells count="9">
    <mergeCell ref="D7:E7"/>
    <mergeCell ref="F7:G7"/>
    <mergeCell ref="C2:G2"/>
    <mergeCell ref="C3:G3"/>
    <mergeCell ref="C4:G4"/>
    <mergeCell ref="D6:E6"/>
    <mergeCell ref="F6:G6"/>
    <mergeCell ref="B7:B9"/>
    <mergeCell ref="C7:C9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3.71"/>
    <col customWidth="1" min="2" max="2" width="3.14"/>
    <col customWidth="1" min="3" max="3" width="51.71"/>
    <col customWidth="1" min="4" max="7" width="14.0"/>
  </cols>
  <sheetData>
    <row r="2">
      <c r="C2" s="54" t="s">
        <v>285</v>
      </c>
    </row>
    <row r="3">
      <c r="C3" s="242" t="s">
        <v>515</v>
      </c>
    </row>
    <row r="4">
      <c r="C4" s="242" t="s">
        <v>154</v>
      </c>
    </row>
    <row r="6">
      <c r="D6" s="742"/>
      <c r="E6" s="57"/>
    </row>
    <row r="7">
      <c r="B7" s="253"/>
      <c r="C7" s="254" t="s">
        <v>166</v>
      </c>
      <c r="D7" s="744" t="s">
        <v>167</v>
      </c>
      <c r="E7" s="745"/>
    </row>
    <row r="8">
      <c r="B8" s="256"/>
      <c r="C8" s="257"/>
      <c r="D8" s="258" t="s">
        <v>168</v>
      </c>
      <c r="E8" s="259">
        <v>32.0</v>
      </c>
    </row>
    <row r="9">
      <c r="B9" s="261"/>
      <c r="C9" s="88"/>
      <c r="D9" s="262" t="s">
        <v>169</v>
      </c>
      <c r="E9" s="263" t="s">
        <v>170</v>
      </c>
    </row>
    <row r="10">
      <c r="B10" s="268">
        <v>1.0</v>
      </c>
      <c r="C10" s="269" t="s">
        <v>500</v>
      </c>
      <c r="D10" s="266">
        <f>25600/E8</f>
        <v>800</v>
      </c>
      <c r="E10" s="276">
        <f>D10*E8</f>
        <v>25600</v>
      </c>
      <c r="F10" s="1" t="s">
        <v>516</v>
      </c>
    </row>
    <row r="11">
      <c r="B11" s="268">
        <v>2.0</v>
      </c>
      <c r="C11" s="269" t="s">
        <v>173</v>
      </c>
      <c r="D11" s="270"/>
      <c r="E11" s="267">
        <v>5740.0</v>
      </c>
    </row>
    <row r="12">
      <c r="B12" s="268">
        <v>3.0</v>
      </c>
      <c r="C12" s="269" t="s">
        <v>174</v>
      </c>
      <c r="D12" s="266">
        <v>150.0</v>
      </c>
      <c r="E12" s="276">
        <f>D12*E8</f>
        <v>4800</v>
      </c>
    </row>
    <row r="13">
      <c r="B13" s="268"/>
      <c r="C13" s="274"/>
      <c r="D13" s="270"/>
      <c r="E13" s="275"/>
    </row>
    <row r="14">
      <c r="B14" s="268"/>
      <c r="C14" s="269" t="s">
        <v>203</v>
      </c>
      <c r="D14" s="270"/>
      <c r="E14" s="267">
        <f>SUM(E15:E25)</f>
        <v>11090</v>
      </c>
    </row>
    <row r="15">
      <c r="B15" s="268">
        <v>4.0</v>
      </c>
      <c r="C15" s="274" t="s">
        <v>501</v>
      </c>
      <c r="D15" s="270"/>
      <c r="E15" s="277">
        <v>3000.0</v>
      </c>
    </row>
    <row r="16">
      <c r="B16" s="268">
        <v>5.0</v>
      </c>
      <c r="C16" s="274" t="s">
        <v>502</v>
      </c>
      <c r="D16" s="270"/>
      <c r="E16" s="277">
        <v>1500.0</v>
      </c>
    </row>
    <row r="17">
      <c r="B17" s="268">
        <v>6.0</v>
      </c>
      <c r="C17" s="274" t="s">
        <v>503</v>
      </c>
      <c r="D17" s="270"/>
      <c r="E17" s="277">
        <v>30.0</v>
      </c>
    </row>
    <row r="18">
      <c r="B18" s="268">
        <v>7.0</v>
      </c>
      <c r="C18" s="274" t="s">
        <v>504</v>
      </c>
      <c r="D18" s="270"/>
      <c r="E18" s="277">
        <v>1000.0</v>
      </c>
    </row>
    <row r="19">
      <c r="B19" s="268">
        <v>8.0</v>
      </c>
      <c r="C19" s="274" t="s">
        <v>505</v>
      </c>
      <c r="D19" s="270"/>
      <c r="E19" s="277">
        <v>260.0</v>
      </c>
    </row>
    <row r="20">
      <c r="B20" s="268">
        <v>9.0</v>
      </c>
      <c r="C20" s="274" t="s">
        <v>506</v>
      </c>
      <c r="D20" s="270"/>
      <c r="E20" s="275"/>
    </row>
    <row r="21">
      <c r="B21" s="268">
        <v>10.0</v>
      </c>
      <c r="C21" s="274" t="s">
        <v>507</v>
      </c>
      <c r="D21" s="270"/>
      <c r="E21" s="275"/>
    </row>
    <row r="22">
      <c r="B22" s="268">
        <v>11.0</v>
      </c>
      <c r="C22" s="274" t="s">
        <v>508</v>
      </c>
      <c r="D22" s="270"/>
      <c r="E22" s="277">
        <v>700.0</v>
      </c>
    </row>
    <row r="23">
      <c r="B23" s="268">
        <v>12.0</v>
      </c>
      <c r="C23" s="274" t="s">
        <v>509</v>
      </c>
      <c r="D23" s="270"/>
      <c r="E23" s="277">
        <v>500.0</v>
      </c>
    </row>
    <row r="24">
      <c r="B24" s="268">
        <v>12.0</v>
      </c>
      <c r="C24" s="274" t="s">
        <v>510</v>
      </c>
      <c r="D24" s="270"/>
      <c r="E24" s="277">
        <v>1500.0</v>
      </c>
    </row>
    <row r="25">
      <c r="B25" s="268">
        <v>13.0</v>
      </c>
      <c r="C25" s="274" t="s">
        <v>511</v>
      </c>
      <c r="D25" s="270"/>
      <c r="E25" s="277">
        <v>2600.0</v>
      </c>
    </row>
    <row r="26">
      <c r="B26" s="268"/>
      <c r="C26" s="274"/>
      <c r="D26" s="270"/>
      <c r="E26" s="275"/>
    </row>
    <row r="27">
      <c r="B27" s="268"/>
      <c r="C27" s="269" t="s">
        <v>512</v>
      </c>
      <c r="D27" s="290"/>
      <c r="E27" s="267">
        <f>SUM(E28:E31)</f>
        <v>13733</v>
      </c>
    </row>
    <row r="28">
      <c r="B28" s="268">
        <v>14.0</v>
      </c>
      <c r="C28" s="269" t="s">
        <v>513</v>
      </c>
      <c r="D28" s="290"/>
      <c r="E28" s="277">
        <v>12000.0</v>
      </c>
    </row>
    <row r="29">
      <c r="B29" s="268">
        <v>15.0</v>
      </c>
      <c r="C29" s="274" t="s">
        <v>514</v>
      </c>
      <c r="D29" s="270"/>
      <c r="E29" s="277">
        <v>130.0</v>
      </c>
    </row>
    <row r="30">
      <c r="B30" s="268">
        <v>16.0</v>
      </c>
      <c r="C30" s="274" t="s">
        <v>189</v>
      </c>
      <c r="D30" s="270"/>
      <c r="E30" s="277">
        <v>800.0</v>
      </c>
    </row>
    <row r="31">
      <c r="B31" s="268">
        <v>17.0</v>
      </c>
      <c r="C31" s="274" t="s">
        <v>190</v>
      </c>
      <c r="D31" s="270"/>
      <c r="E31" s="277">
        <v>803.0</v>
      </c>
    </row>
    <row r="32">
      <c r="B32" s="268"/>
      <c r="C32" s="698"/>
      <c r="D32" s="270"/>
      <c r="E32" s="275"/>
    </row>
    <row r="33">
      <c r="B33" s="493"/>
      <c r="C33" s="746" t="s">
        <v>196</v>
      </c>
      <c r="D33" s="747"/>
      <c r="E33" s="748">
        <f>E27+E14+E10+E11+E12</f>
        <v>60963</v>
      </c>
    </row>
    <row r="34">
      <c r="C34" s="300" t="s">
        <v>197</v>
      </c>
      <c r="E34" s="301"/>
    </row>
  </sheetData>
  <mergeCells count="7">
    <mergeCell ref="C2:G2"/>
    <mergeCell ref="C3:G3"/>
    <mergeCell ref="C4:G4"/>
    <mergeCell ref="D6:E6"/>
    <mergeCell ref="B7:B9"/>
    <mergeCell ref="C7:C9"/>
    <mergeCell ref="D7:E7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3.71"/>
    <col customWidth="1" min="2" max="2" width="3.14"/>
    <col customWidth="1" min="3" max="3" width="51.71"/>
    <col customWidth="1" min="4" max="7" width="14.0"/>
    <col customWidth="1" min="8" max="26" width="17.86"/>
  </cols>
  <sheetData>
    <row r="2">
      <c r="C2" s="54" t="s">
        <v>285</v>
      </c>
    </row>
    <row r="3">
      <c r="C3" s="242" t="s">
        <v>517</v>
      </c>
    </row>
    <row r="4">
      <c r="C4" s="242" t="s">
        <v>154</v>
      </c>
    </row>
    <row r="6">
      <c r="D6" s="742"/>
      <c r="E6" s="57"/>
    </row>
    <row r="7">
      <c r="B7" s="253"/>
      <c r="C7" s="254" t="s">
        <v>166</v>
      </c>
      <c r="D7" s="744" t="s">
        <v>167</v>
      </c>
      <c r="E7" s="745"/>
    </row>
    <row r="8">
      <c r="B8" s="256"/>
      <c r="C8" s="257"/>
      <c r="D8" s="258" t="s">
        <v>168</v>
      </c>
      <c r="E8" s="259">
        <v>32.0</v>
      </c>
    </row>
    <row r="9">
      <c r="B9" s="261"/>
      <c r="C9" s="88"/>
      <c r="D9" s="262" t="s">
        <v>169</v>
      </c>
      <c r="E9" s="263" t="s">
        <v>170</v>
      </c>
    </row>
    <row r="10">
      <c r="B10" s="268">
        <v>1.0</v>
      </c>
      <c r="C10" s="269" t="s">
        <v>500</v>
      </c>
      <c r="D10" s="266">
        <f>26560/E8</f>
        <v>830</v>
      </c>
      <c r="E10" s="276">
        <f>D10*E8</f>
        <v>26560</v>
      </c>
      <c r="F10" s="1" t="s">
        <v>516</v>
      </c>
    </row>
    <row r="11">
      <c r="B11" s="268">
        <v>2.0</v>
      </c>
      <c r="C11" s="269" t="s">
        <v>173</v>
      </c>
      <c r="D11" s="270"/>
      <c r="E11" s="267">
        <v>5740.0</v>
      </c>
    </row>
    <row r="12">
      <c r="B12" s="268">
        <v>3.0</v>
      </c>
      <c r="C12" s="269" t="s">
        <v>174</v>
      </c>
      <c r="D12" s="266">
        <v>150.0</v>
      </c>
      <c r="E12" s="276">
        <f>D12*E8</f>
        <v>4800</v>
      </c>
    </row>
    <row r="13">
      <c r="B13" s="268"/>
      <c r="C13" s="274"/>
      <c r="D13" s="270"/>
      <c r="E13" s="275"/>
    </row>
    <row r="14">
      <c r="B14" s="268"/>
      <c r="C14" s="269" t="s">
        <v>203</v>
      </c>
      <c r="D14" s="270"/>
      <c r="E14" s="267">
        <f>SUM(E15:E25)</f>
        <v>11090</v>
      </c>
    </row>
    <row r="15">
      <c r="B15" s="268">
        <v>4.0</v>
      </c>
      <c r="C15" s="274" t="s">
        <v>501</v>
      </c>
      <c r="D15" s="270"/>
      <c r="E15" s="277">
        <v>3000.0</v>
      </c>
    </row>
    <row r="16">
      <c r="B16" s="268">
        <v>5.0</v>
      </c>
      <c r="C16" s="274" t="s">
        <v>502</v>
      </c>
      <c r="D16" s="270"/>
      <c r="E16" s="277">
        <v>1500.0</v>
      </c>
    </row>
    <row r="17">
      <c r="B17" s="268">
        <v>6.0</v>
      </c>
      <c r="C17" s="274" t="s">
        <v>503</v>
      </c>
      <c r="D17" s="270"/>
      <c r="E17" s="277">
        <v>30.0</v>
      </c>
    </row>
    <row r="18">
      <c r="B18" s="268">
        <v>7.0</v>
      </c>
      <c r="C18" s="274" t="s">
        <v>504</v>
      </c>
      <c r="D18" s="270"/>
      <c r="E18" s="277">
        <v>1000.0</v>
      </c>
    </row>
    <row r="19">
      <c r="B19" s="268">
        <v>8.0</v>
      </c>
      <c r="C19" s="274" t="s">
        <v>505</v>
      </c>
      <c r="D19" s="270"/>
      <c r="E19" s="277">
        <v>260.0</v>
      </c>
    </row>
    <row r="20">
      <c r="B20" s="268">
        <v>9.0</v>
      </c>
      <c r="C20" s="274" t="s">
        <v>506</v>
      </c>
      <c r="D20" s="270"/>
      <c r="E20" s="275"/>
    </row>
    <row r="21">
      <c r="B21" s="268">
        <v>10.0</v>
      </c>
      <c r="C21" s="274" t="s">
        <v>507</v>
      </c>
      <c r="D21" s="270"/>
      <c r="E21" s="275"/>
    </row>
    <row r="22">
      <c r="B22" s="268">
        <v>11.0</v>
      </c>
      <c r="C22" s="274" t="s">
        <v>508</v>
      </c>
      <c r="D22" s="270"/>
      <c r="E22" s="277">
        <v>700.0</v>
      </c>
    </row>
    <row r="23">
      <c r="B23" s="268">
        <v>12.0</v>
      </c>
      <c r="C23" s="274" t="s">
        <v>509</v>
      </c>
      <c r="D23" s="270"/>
      <c r="E23" s="277">
        <v>500.0</v>
      </c>
    </row>
    <row r="24">
      <c r="B24" s="268">
        <v>12.0</v>
      </c>
      <c r="C24" s="274" t="s">
        <v>510</v>
      </c>
      <c r="D24" s="270"/>
      <c r="E24" s="277">
        <v>1500.0</v>
      </c>
    </row>
    <row r="25">
      <c r="B25" s="268">
        <v>13.0</v>
      </c>
      <c r="C25" s="274" t="s">
        <v>511</v>
      </c>
      <c r="D25" s="270"/>
      <c r="E25" s="277">
        <v>2600.0</v>
      </c>
    </row>
    <row r="26">
      <c r="B26" s="268"/>
      <c r="C26" s="274"/>
      <c r="D26" s="270"/>
      <c r="E26" s="275"/>
    </row>
    <row r="27">
      <c r="B27" s="268"/>
      <c r="C27" s="269" t="s">
        <v>512</v>
      </c>
      <c r="D27" s="290"/>
      <c r="E27" s="267">
        <f>SUM(E28:E31)</f>
        <v>13733</v>
      </c>
    </row>
    <row r="28">
      <c r="B28" s="268">
        <v>14.0</v>
      </c>
      <c r="C28" s="269" t="s">
        <v>513</v>
      </c>
      <c r="D28" s="290"/>
      <c r="E28" s="277">
        <v>12000.0</v>
      </c>
    </row>
    <row r="29">
      <c r="B29" s="268">
        <v>15.0</v>
      </c>
      <c r="C29" s="274" t="s">
        <v>514</v>
      </c>
      <c r="D29" s="270"/>
      <c r="E29" s="277">
        <v>130.0</v>
      </c>
    </row>
    <row r="30">
      <c r="B30" s="268">
        <v>16.0</v>
      </c>
      <c r="C30" s="274" t="s">
        <v>189</v>
      </c>
      <c r="D30" s="270"/>
      <c r="E30" s="277">
        <v>800.0</v>
      </c>
    </row>
    <row r="31">
      <c r="B31" s="268">
        <v>17.0</v>
      </c>
      <c r="C31" s="274" t="s">
        <v>190</v>
      </c>
      <c r="D31" s="270"/>
      <c r="E31" s="277">
        <v>803.0</v>
      </c>
    </row>
    <row r="32">
      <c r="B32" s="268"/>
      <c r="C32" s="698"/>
      <c r="D32" s="270"/>
      <c r="E32" s="275"/>
    </row>
    <row r="33">
      <c r="B33" s="493"/>
      <c r="C33" s="746" t="s">
        <v>196</v>
      </c>
      <c r="D33" s="747"/>
      <c r="E33" s="748">
        <f>E27+E14+E10+E11+E12</f>
        <v>61923</v>
      </c>
    </row>
    <row r="34">
      <c r="C34" s="300" t="s">
        <v>197</v>
      </c>
      <c r="E34" s="301"/>
    </row>
    <row r="36">
      <c r="C36" s="749" t="s">
        <v>518</v>
      </c>
      <c r="D36" s="44"/>
      <c r="E36" s="44"/>
      <c r="F36" s="44"/>
      <c r="G36" s="45"/>
    </row>
    <row r="37">
      <c r="C37" s="750" t="s">
        <v>358</v>
      </c>
      <c r="D37" s="751"/>
      <c r="E37" s="752"/>
      <c r="F37" s="753"/>
      <c r="G37" s="752"/>
    </row>
    <row r="38">
      <c r="C38" s="486" t="s">
        <v>363</v>
      </c>
      <c r="D38" s="727" t="s">
        <v>519</v>
      </c>
      <c r="E38" s="754" t="s">
        <v>520</v>
      </c>
      <c r="F38" s="735"/>
      <c r="G38" s="697"/>
    </row>
    <row r="39">
      <c r="C39" s="256"/>
      <c r="D39" s="47" t="s">
        <v>521</v>
      </c>
      <c r="E39" s="755" t="s">
        <v>367</v>
      </c>
      <c r="F39" s="731"/>
      <c r="G39" s="698"/>
    </row>
    <row r="40">
      <c r="C40" s="483"/>
      <c r="D40" s="729" t="s">
        <v>522</v>
      </c>
      <c r="E40" s="484" t="s">
        <v>292</v>
      </c>
      <c r="F40" s="733"/>
      <c r="G40" s="699"/>
    </row>
    <row r="41">
      <c r="C41" s="486" t="s">
        <v>371</v>
      </c>
      <c r="D41" s="727" t="s">
        <v>519</v>
      </c>
      <c r="E41" s="756"/>
      <c r="F41" s="735"/>
      <c r="G41" s="697"/>
    </row>
    <row r="42">
      <c r="C42" s="256"/>
      <c r="D42" s="47" t="s">
        <v>521</v>
      </c>
      <c r="E42" s="757"/>
      <c r="F42" s="731"/>
      <c r="G42" s="698"/>
    </row>
    <row r="43">
      <c r="C43" s="483"/>
      <c r="D43" s="729" t="s">
        <v>522</v>
      </c>
      <c r="E43" s="758"/>
      <c r="F43" s="733"/>
      <c r="G43" s="699"/>
    </row>
    <row r="44">
      <c r="C44" s="486" t="s">
        <v>372</v>
      </c>
      <c r="D44" s="727" t="s">
        <v>519</v>
      </c>
      <c r="E44" s="756"/>
      <c r="F44" s="735"/>
      <c r="G44" s="697"/>
    </row>
    <row r="45">
      <c r="C45" s="256"/>
      <c r="D45" s="47" t="s">
        <v>521</v>
      </c>
      <c r="E45" s="757"/>
      <c r="F45" s="731"/>
      <c r="G45" s="698"/>
    </row>
    <row r="46">
      <c r="C46" s="483"/>
      <c r="D46" s="729" t="s">
        <v>522</v>
      </c>
      <c r="E46" s="758"/>
      <c r="F46" s="733"/>
      <c r="G46" s="699"/>
    </row>
    <row r="47">
      <c r="C47" s="486" t="s">
        <v>373</v>
      </c>
      <c r="D47" s="727" t="s">
        <v>519</v>
      </c>
      <c r="E47" s="756"/>
      <c r="F47" s="727"/>
      <c r="G47" s="759" t="s">
        <v>523</v>
      </c>
    </row>
    <row r="48">
      <c r="C48" s="256"/>
      <c r="D48" s="47" t="s">
        <v>521</v>
      </c>
      <c r="E48" s="757"/>
      <c r="F48" s="47"/>
      <c r="G48" s="760" t="s">
        <v>418</v>
      </c>
    </row>
    <row r="49">
      <c r="C49" s="483"/>
      <c r="D49" s="729" t="s">
        <v>522</v>
      </c>
      <c r="E49" s="758"/>
      <c r="F49" s="729"/>
      <c r="G49" s="761" t="s">
        <v>524</v>
      </c>
    </row>
    <row r="50">
      <c r="C50" s="486" t="s">
        <v>374</v>
      </c>
      <c r="D50" s="727" t="s">
        <v>519</v>
      </c>
      <c r="E50" s="756"/>
      <c r="F50" s="735"/>
      <c r="G50" s="697"/>
    </row>
    <row r="51">
      <c r="C51" s="256"/>
      <c r="D51" s="47" t="s">
        <v>521</v>
      </c>
      <c r="E51" s="757"/>
      <c r="F51" s="731"/>
      <c r="G51" s="698"/>
    </row>
    <row r="52">
      <c r="C52" s="483"/>
      <c r="D52" s="729" t="s">
        <v>522</v>
      </c>
      <c r="E52" s="758"/>
      <c r="F52" s="733"/>
      <c r="G52" s="699"/>
    </row>
    <row r="53">
      <c r="C53" s="486" t="s">
        <v>375</v>
      </c>
      <c r="D53" s="727" t="s">
        <v>519</v>
      </c>
      <c r="E53" s="756"/>
      <c r="F53" s="735"/>
      <c r="G53" s="759" t="s">
        <v>525</v>
      </c>
    </row>
    <row r="54">
      <c r="C54" s="256"/>
      <c r="D54" s="47" t="s">
        <v>521</v>
      </c>
      <c r="E54" s="757"/>
      <c r="F54" s="731"/>
      <c r="G54" s="760" t="s">
        <v>425</v>
      </c>
    </row>
    <row r="55">
      <c r="C55" s="483"/>
      <c r="D55" s="729" t="s">
        <v>522</v>
      </c>
      <c r="E55" s="758"/>
      <c r="F55" s="733"/>
      <c r="G55" s="761" t="s">
        <v>526</v>
      </c>
    </row>
    <row r="56">
      <c r="C56" s="486" t="s">
        <v>376</v>
      </c>
      <c r="D56" s="727" t="s">
        <v>519</v>
      </c>
      <c r="E56" s="756"/>
      <c r="F56" s="735"/>
      <c r="G56" s="697"/>
    </row>
    <row r="57">
      <c r="C57" s="256"/>
      <c r="D57" s="47" t="s">
        <v>521</v>
      </c>
      <c r="E57" s="757"/>
      <c r="F57" s="731"/>
      <c r="G57" s="698"/>
    </row>
    <row r="58">
      <c r="C58" s="483"/>
      <c r="D58" s="729" t="s">
        <v>522</v>
      </c>
      <c r="E58" s="758"/>
      <c r="F58" s="733"/>
      <c r="G58" s="699"/>
    </row>
  </sheetData>
  <mergeCells count="17">
    <mergeCell ref="C2:G2"/>
    <mergeCell ref="C3:G3"/>
    <mergeCell ref="C4:G4"/>
    <mergeCell ref="D6:E6"/>
    <mergeCell ref="B7:B9"/>
    <mergeCell ref="C7:C9"/>
    <mergeCell ref="D7:E7"/>
    <mergeCell ref="C50:C52"/>
    <mergeCell ref="C53:C55"/>
    <mergeCell ref="C56:C58"/>
    <mergeCell ref="C36:G36"/>
    <mergeCell ref="D37:E37"/>
    <mergeCell ref="F37:G37"/>
    <mergeCell ref="C38:C40"/>
    <mergeCell ref="C41:C43"/>
    <mergeCell ref="C44:C46"/>
    <mergeCell ref="C47:C49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3.71"/>
    <col customWidth="1" min="2" max="2" width="3.14"/>
    <col customWidth="1" min="3" max="3" width="51.71"/>
    <col customWidth="1" min="4" max="7" width="14.0"/>
    <col customWidth="1" min="8" max="26" width="17.86"/>
  </cols>
  <sheetData>
    <row r="2">
      <c r="C2" s="54" t="s">
        <v>285</v>
      </c>
    </row>
    <row r="3">
      <c r="C3" s="242" t="s">
        <v>527</v>
      </c>
    </row>
    <row r="4">
      <c r="C4" s="242" t="s">
        <v>154</v>
      </c>
    </row>
    <row r="6">
      <c r="D6" s="742"/>
      <c r="E6" s="57"/>
    </row>
    <row r="7">
      <c r="B7" s="253"/>
      <c r="C7" s="254" t="s">
        <v>166</v>
      </c>
      <c r="D7" s="744" t="s">
        <v>167</v>
      </c>
      <c r="E7" s="745"/>
    </row>
    <row r="8">
      <c r="B8" s="256"/>
      <c r="C8" s="257"/>
      <c r="D8" s="258" t="s">
        <v>168</v>
      </c>
      <c r="E8" s="259">
        <v>32.0</v>
      </c>
    </row>
    <row r="9">
      <c r="B9" s="261"/>
      <c r="C9" s="88"/>
      <c r="D9" s="262" t="s">
        <v>169</v>
      </c>
      <c r="E9" s="263" t="s">
        <v>170</v>
      </c>
    </row>
    <row r="10">
      <c r="B10" s="268">
        <v>1.0</v>
      </c>
      <c r="C10" s="269" t="s">
        <v>500</v>
      </c>
      <c r="D10" s="266">
        <f>28160/E8</f>
        <v>880</v>
      </c>
      <c r="E10" s="276">
        <f>D10*E8</f>
        <v>28160</v>
      </c>
      <c r="F10" s="1" t="s">
        <v>516</v>
      </c>
    </row>
    <row r="11">
      <c r="B11" s="268">
        <v>2.0</v>
      </c>
      <c r="C11" s="269" t="s">
        <v>173</v>
      </c>
      <c r="D11" s="270"/>
      <c r="E11" s="267">
        <v>5740.0</v>
      </c>
    </row>
    <row r="12">
      <c r="B12" s="268">
        <v>3.0</v>
      </c>
      <c r="C12" s="269" t="s">
        <v>174</v>
      </c>
      <c r="D12" s="266">
        <v>150.0</v>
      </c>
      <c r="E12" s="276">
        <f>D12*E8</f>
        <v>4800</v>
      </c>
    </row>
    <row r="13">
      <c r="B13" s="268"/>
      <c r="C13" s="274"/>
      <c r="D13" s="270"/>
      <c r="E13" s="275"/>
    </row>
    <row r="14">
      <c r="B14" s="268"/>
      <c r="C14" s="269" t="s">
        <v>203</v>
      </c>
      <c r="D14" s="270"/>
      <c r="E14" s="267">
        <f>SUM(E15:E25)</f>
        <v>11090</v>
      </c>
    </row>
    <row r="15">
      <c r="B15" s="268">
        <v>4.0</v>
      </c>
      <c r="C15" s="274" t="s">
        <v>501</v>
      </c>
      <c r="D15" s="270"/>
      <c r="E15" s="277">
        <v>3000.0</v>
      </c>
    </row>
    <row r="16">
      <c r="B16" s="268">
        <v>5.0</v>
      </c>
      <c r="C16" s="274" t="s">
        <v>502</v>
      </c>
      <c r="D16" s="270"/>
      <c r="E16" s="277">
        <v>1500.0</v>
      </c>
    </row>
    <row r="17">
      <c r="B17" s="268">
        <v>6.0</v>
      </c>
      <c r="C17" s="274" t="s">
        <v>503</v>
      </c>
      <c r="D17" s="270"/>
      <c r="E17" s="277">
        <v>30.0</v>
      </c>
    </row>
    <row r="18">
      <c r="B18" s="268">
        <v>7.0</v>
      </c>
      <c r="C18" s="274" t="s">
        <v>504</v>
      </c>
      <c r="D18" s="270"/>
      <c r="E18" s="277">
        <v>1000.0</v>
      </c>
    </row>
    <row r="19">
      <c r="B19" s="268">
        <v>8.0</v>
      </c>
      <c r="C19" s="274" t="s">
        <v>505</v>
      </c>
      <c r="D19" s="270"/>
      <c r="E19" s="277">
        <v>260.0</v>
      </c>
    </row>
    <row r="20">
      <c r="B20" s="268">
        <v>9.0</v>
      </c>
      <c r="C20" s="274" t="s">
        <v>506</v>
      </c>
      <c r="D20" s="270"/>
      <c r="E20" s="275"/>
    </row>
    <row r="21">
      <c r="B21" s="268">
        <v>10.0</v>
      </c>
      <c r="C21" s="274" t="s">
        <v>507</v>
      </c>
      <c r="D21" s="270"/>
      <c r="E21" s="275"/>
    </row>
    <row r="22">
      <c r="B22" s="268">
        <v>11.0</v>
      </c>
      <c r="C22" s="274" t="s">
        <v>508</v>
      </c>
      <c r="D22" s="270"/>
      <c r="E22" s="277">
        <v>700.0</v>
      </c>
    </row>
    <row r="23">
      <c r="B23" s="268">
        <v>12.0</v>
      </c>
      <c r="C23" s="274" t="s">
        <v>509</v>
      </c>
      <c r="D23" s="270"/>
      <c r="E23" s="277">
        <v>500.0</v>
      </c>
    </row>
    <row r="24">
      <c r="B24" s="268">
        <v>12.0</v>
      </c>
      <c r="C24" s="274" t="s">
        <v>510</v>
      </c>
      <c r="D24" s="270"/>
      <c r="E24" s="277">
        <v>1500.0</v>
      </c>
    </row>
    <row r="25">
      <c r="B25" s="268">
        <v>13.0</v>
      </c>
      <c r="C25" s="274" t="s">
        <v>511</v>
      </c>
      <c r="D25" s="270"/>
      <c r="E25" s="277">
        <v>2600.0</v>
      </c>
    </row>
    <row r="26">
      <c r="B26" s="268"/>
      <c r="C26" s="274"/>
      <c r="D26" s="270"/>
      <c r="E26" s="275"/>
    </row>
    <row r="27">
      <c r="B27" s="268"/>
      <c r="C27" s="269" t="s">
        <v>512</v>
      </c>
      <c r="D27" s="290"/>
      <c r="E27" s="267">
        <f>SUM(E28:E31)</f>
        <v>13733</v>
      </c>
    </row>
    <row r="28">
      <c r="B28" s="268">
        <v>14.0</v>
      </c>
      <c r="C28" s="269" t="s">
        <v>513</v>
      </c>
      <c r="D28" s="290"/>
      <c r="E28" s="277">
        <v>12000.0</v>
      </c>
    </row>
    <row r="29">
      <c r="B29" s="268">
        <v>15.0</v>
      </c>
      <c r="C29" s="274" t="s">
        <v>514</v>
      </c>
      <c r="D29" s="270"/>
      <c r="E29" s="277">
        <v>130.0</v>
      </c>
    </row>
    <row r="30">
      <c r="B30" s="268">
        <v>16.0</v>
      </c>
      <c r="C30" s="274" t="s">
        <v>189</v>
      </c>
      <c r="D30" s="270"/>
      <c r="E30" s="277">
        <v>800.0</v>
      </c>
    </row>
    <row r="31">
      <c r="B31" s="268">
        <v>17.0</v>
      </c>
      <c r="C31" s="274" t="s">
        <v>190</v>
      </c>
      <c r="D31" s="270"/>
      <c r="E31" s="277">
        <v>803.0</v>
      </c>
    </row>
    <row r="32">
      <c r="B32" s="268"/>
      <c r="C32" s="698"/>
      <c r="D32" s="270"/>
      <c r="E32" s="275"/>
    </row>
    <row r="33">
      <c r="B33" s="493"/>
      <c r="C33" s="746" t="s">
        <v>196</v>
      </c>
      <c r="D33" s="747"/>
      <c r="E33" s="748">
        <f>E27+E14+E10+E11+E12</f>
        <v>63523</v>
      </c>
    </row>
    <row r="34">
      <c r="C34" s="300" t="s">
        <v>197</v>
      </c>
      <c r="E34" s="301">
        <v>75000.0</v>
      </c>
    </row>
    <row r="36">
      <c r="C36" s="749" t="s">
        <v>518</v>
      </c>
      <c r="D36" s="44"/>
      <c r="E36" s="44"/>
      <c r="F36" s="44"/>
      <c r="G36" s="45"/>
    </row>
    <row r="37">
      <c r="C37" s="750" t="s">
        <v>358</v>
      </c>
      <c r="D37" s="751"/>
      <c r="E37" s="752"/>
      <c r="F37" s="753"/>
      <c r="G37" s="752"/>
    </row>
    <row r="38">
      <c r="C38" s="486" t="s">
        <v>363</v>
      </c>
      <c r="D38" s="727" t="s">
        <v>519</v>
      </c>
      <c r="E38" s="754" t="s">
        <v>520</v>
      </c>
      <c r="F38" s="735"/>
      <c r="G38" s="697"/>
    </row>
    <row r="39">
      <c r="C39" s="256"/>
      <c r="D39" s="47" t="s">
        <v>521</v>
      </c>
      <c r="E39" s="755" t="s">
        <v>367</v>
      </c>
      <c r="F39" s="731"/>
      <c r="G39" s="698"/>
    </row>
    <row r="40">
      <c r="C40" s="483"/>
      <c r="D40" s="729" t="s">
        <v>522</v>
      </c>
      <c r="E40" s="484" t="s">
        <v>292</v>
      </c>
      <c r="F40" s="733"/>
      <c r="G40" s="699"/>
    </row>
    <row r="41">
      <c r="C41" s="486" t="s">
        <v>371</v>
      </c>
      <c r="D41" s="727" t="s">
        <v>519</v>
      </c>
      <c r="E41" s="756"/>
      <c r="F41" s="735"/>
      <c r="G41" s="697"/>
    </row>
    <row r="42">
      <c r="C42" s="256"/>
      <c r="D42" s="47" t="s">
        <v>521</v>
      </c>
      <c r="E42" s="757"/>
      <c r="F42" s="731"/>
      <c r="G42" s="698"/>
    </row>
    <row r="43">
      <c r="C43" s="483"/>
      <c r="D43" s="729" t="s">
        <v>522</v>
      </c>
      <c r="E43" s="758"/>
      <c r="F43" s="733"/>
      <c r="G43" s="699"/>
    </row>
    <row r="44">
      <c r="C44" s="486" t="s">
        <v>372</v>
      </c>
      <c r="D44" s="727" t="s">
        <v>519</v>
      </c>
      <c r="E44" s="756"/>
      <c r="F44" s="735"/>
      <c r="G44" s="697"/>
    </row>
    <row r="45">
      <c r="C45" s="256"/>
      <c r="D45" s="47" t="s">
        <v>521</v>
      </c>
      <c r="E45" s="757"/>
      <c r="F45" s="731"/>
      <c r="G45" s="698"/>
    </row>
    <row r="46">
      <c r="C46" s="483"/>
      <c r="D46" s="729" t="s">
        <v>522</v>
      </c>
      <c r="E46" s="758"/>
      <c r="F46" s="733"/>
      <c r="G46" s="699"/>
    </row>
    <row r="47">
      <c r="C47" s="486" t="s">
        <v>373</v>
      </c>
      <c r="D47" s="727" t="s">
        <v>519</v>
      </c>
      <c r="E47" s="756"/>
      <c r="F47" s="727"/>
      <c r="G47" s="759" t="s">
        <v>523</v>
      </c>
    </row>
    <row r="48">
      <c r="C48" s="256"/>
      <c r="D48" s="47" t="s">
        <v>521</v>
      </c>
      <c r="E48" s="757"/>
      <c r="F48" s="47"/>
      <c r="G48" s="760" t="s">
        <v>418</v>
      </c>
    </row>
    <row r="49">
      <c r="C49" s="483"/>
      <c r="D49" s="729" t="s">
        <v>522</v>
      </c>
      <c r="E49" s="758"/>
      <c r="F49" s="729"/>
      <c r="G49" s="761" t="s">
        <v>524</v>
      </c>
    </row>
    <row r="50">
      <c r="C50" s="486" t="s">
        <v>374</v>
      </c>
      <c r="D50" s="727" t="s">
        <v>519</v>
      </c>
      <c r="E50" s="756"/>
      <c r="F50" s="735"/>
      <c r="G50" s="697"/>
    </row>
    <row r="51">
      <c r="C51" s="256"/>
      <c r="D51" s="47" t="s">
        <v>521</v>
      </c>
      <c r="E51" s="757"/>
      <c r="F51" s="731"/>
      <c r="G51" s="698"/>
    </row>
    <row r="52">
      <c r="C52" s="483"/>
      <c r="D52" s="729" t="s">
        <v>522</v>
      </c>
      <c r="E52" s="758"/>
      <c r="F52" s="733"/>
      <c r="G52" s="699"/>
    </row>
    <row r="53">
      <c r="C53" s="486" t="s">
        <v>375</v>
      </c>
      <c r="D53" s="727" t="s">
        <v>519</v>
      </c>
      <c r="E53" s="756"/>
      <c r="F53" s="735"/>
      <c r="G53" s="759" t="s">
        <v>525</v>
      </c>
    </row>
    <row r="54">
      <c r="C54" s="256"/>
      <c r="D54" s="47" t="s">
        <v>521</v>
      </c>
      <c r="E54" s="757"/>
      <c r="F54" s="731"/>
      <c r="G54" s="760" t="s">
        <v>425</v>
      </c>
    </row>
    <row r="55">
      <c r="C55" s="483"/>
      <c r="D55" s="729" t="s">
        <v>522</v>
      </c>
      <c r="E55" s="758"/>
      <c r="F55" s="733"/>
      <c r="G55" s="761" t="s">
        <v>526</v>
      </c>
    </row>
    <row r="56">
      <c r="C56" s="486" t="s">
        <v>376</v>
      </c>
      <c r="D56" s="727" t="s">
        <v>519</v>
      </c>
      <c r="E56" s="756"/>
      <c r="F56" s="735"/>
      <c r="G56" s="697"/>
    </row>
    <row r="57">
      <c r="C57" s="256"/>
      <c r="D57" s="47" t="s">
        <v>521</v>
      </c>
      <c r="E57" s="757"/>
      <c r="F57" s="731"/>
      <c r="G57" s="698"/>
    </row>
    <row r="58">
      <c r="C58" s="483"/>
      <c r="D58" s="729" t="s">
        <v>522</v>
      </c>
      <c r="E58" s="758"/>
      <c r="F58" s="733"/>
      <c r="G58" s="699"/>
    </row>
  </sheetData>
  <mergeCells count="17">
    <mergeCell ref="C2:G2"/>
    <mergeCell ref="C3:G3"/>
    <mergeCell ref="C4:G4"/>
    <mergeCell ref="D6:E6"/>
    <mergeCell ref="B7:B9"/>
    <mergeCell ref="C7:C9"/>
    <mergeCell ref="D7:E7"/>
    <mergeCell ref="C50:C52"/>
    <mergeCell ref="C53:C55"/>
    <mergeCell ref="C56:C58"/>
    <mergeCell ref="C36:G36"/>
    <mergeCell ref="D37:E37"/>
    <mergeCell ref="F37:G37"/>
    <mergeCell ref="C38:C40"/>
    <mergeCell ref="C41:C43"/>
    <mergeCell ref="C44:C46"/>
    <mergeCell ref="C47:C49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6" max="6" width="17.0"/>
  </cols>
  <sheetData>
    <row r="2">
      <c r="B2" s="762" t="s">
        <v>528</v>
      </c>
    </row>
    <row r="3">
      <c r="B3" s="58"/>
      <c r="C3" s="58"/>
      <c r="D3" s="58"/>
      <c r="E3" s="58"/>
      <c r="F3" s="58"/>
      <c r="G3" s="58"/>
    </row>
    <row r="4">
      <c r="B4" s="58"/>
      <c r="C4" s="123"/>
      <c r="D4" s="123"/>
      <c r="E4" s="123"/>
      <c r="F4" s="123"/>
      <c r="G4" s="123"/>
    </row>
    <row r="5">
      <c r="B5" s="121"/>
      <c r="C5" s="220" t="s">
        <v>529</v>
      </c>
      <c r="D5" s="202"/>
      <c r="E5" s="202"/>
      <c r="F5" s="202"/>
      <c r="G5" s="203"/>
    </row>
    <row r="6">
      <c r="B6" s="58"/>
      <c r="C6" s="58"/>
      <c r="D6" s="58"/>
      <c r="E6" s="58"/>
      <c r="F6" s="58"/>
      <c r="G6" s="58"/>
      <c r="H6" s="58"/>
    </row>
    <row r="7">
      <c r="B7" s="58"/>
      <c r="C7" s="123"/>
      <c r="D7" s="123"/>
      <c r="E7" s="123"/>
      <c r="F7" s="123"/>
      <c r="G7" s="123"/>
    </row>
    <row r="8">
      <c r="B8" s="136"/>
      <c r="C8" s="128" t="s">
        <v>98</v>
      </c>
      <c r="D8" s="129" t="s">
        <v>99</v>
      </c>
      <c r="E8" s="129" t="s">
        <v>99</v>
      </c>
      <c r="F8" s="128" t="s">
        <v>98</v>
      </c>
      <c r="G8" s="130" t="s">
        <v>100</v>
      </c>
    </row>
    <row r="9">
      <c r="B9" s="139" t="s">
        <v>112</v>
      </c>
      <c r="C9" s="140"/>
      <c r="D9" s="140"/>
      <c r="E9" s="140"/>
      <c r="F9" s="140"/>
      <c r="G9" s="121"/>
    </row>
    <row r="10">
      <c r="B10" s="145" t="s">
        <v>113</v>
      </c>
      <c r="C10" s="147">
        <v>262.0</v>
      </c>
      <c r="D10" s="147">
        <v>262.0</v>
      </c>
      <c r="E10" s="121"/>
      <c r="F10" s="121"/>
      <c r="G10" s="148">
        <f>SUM(C10:F10)</f>
        <v>524</v>
      </c>
    </row>
    <row r="11">
      <c r="B11" s="145" t="s">
        <v>115</v>
      </c>
      <c r="C11" s="151">
        <v>3.4</v>
      </c>
      <c r="D11" s="151">
        <v>2.6</v>
      </c>
      <c r="E11" s="121"/>
      <c r="F11" s="121"/>
      <c r="G11" s="121"/>
    </row>
    <row r="12">
      <c r="B12" s="156" t="s">
        <v>116</v>
      </c>
      <c r="C12" s="157">
        <f t="shared" ref="C12:D12" si="1">C10/C11</f>
        <v>77.05882353</v>
      </c>
      <c r="D12" s="157">
        <f t="shared" si="1"/>
        <v>100.7692308</v>
      </c>
      <c r="E12" s="159"/>
      <c r="F12" s="159"/>
      <c r="G12" s="158">
        <f>SUM(C12:F12)</f>
        <v>177.8280543</v>
      </c>
    </row>
    <row r="13">
      <c r="B13" s="145" t="s">
        <v>117</v>
      </c>
      <c r="C13" s="146">
        <v>26.0</v>
      </c>
      <c r="D13" s="146">
        <v>26.0</v>
      </c>
      <c r="E13" s="121"/>
      <c r="F13" s="121"/>
      <c r="G13" s="121"/>
    </row>
    <row r="14">
      <c r="B14" s="164" t="s">
        <v>112</v>
      </c>
      <c r="C14" s="165">
        <f t="shared" ref="C14:D14" si="2">C12*C13</f>
        <v>2003.529412</v>
      </c>
      <c r="D14" s="165">
        <f t="shared" si="2"/>
        <v>2620</v>
      </c>
      <c r="E14" s="167"/>
      <c r="F14" s="167"/>
      <c r="G14" s="167">
        <f>SUM(C14:F14)</f>
        <v>4623.529412</v>
      </c>
    </row>
    <row r="15">
      <c r="B15" s="171"/>
      <c r="C15" s="155"/>
      <c r="D15" s="155"/>
      <c r="E15" s="121"/>
      <c r="F15" s="121"/>
      <c r="G15" s="121" t="s">
        <v>118</v>
      </c>
    </row>
    <row r="16">
      <c r="B16" s="145" t="s">
        <v>119</v>
      </c>
      <c r="C16" s="147">
        <v>0.0</v>
      </c>
      <c r="D16" s="147">
        <v>7.0</v>
      </c>
      <c r="E16" s="121"/>
      <c r="F16" s="121"/>
      <c r="G16" s="147">
        <f t="shared" ref="G16:G18" si="4">SUM(C16:F16)</f>
        <v>7</v>
      </c>
    </row>
    <row r="17">
      <c r="B17" s="156" t="s">
        <v>116</v>
      </c>
      <c r="C17" s="157">
        <f t="shared" ref="C17:D17" si="3">C16*4.7</f>
        <v>0</v>
      </c>
      <c r="D17" s="157">
        <f t="shared" si="3"/>
        <v>32.9</v>
      </c>
      <c r="E17" s="159"/>
      <c r="F17" s="159"/>
      <c r="G17" s="158">
        <f t="shared" si="4"/>
        <v>32.9</v>
      </c>
    </row>
    <row r="18">
      <c r="B18" s="164" t="s">
        <v>120</v>
      </c>
      <c r="C18" s="165">
        <f t="shared" ref="C18:D18" si="5">C17*C13</f>
        <v>0</v>
      </c>
      <c r="D18" s="165">
        <f t="shared" si="5"/>
        <v>855.4</v>
      </c>
      <c r="E18" s="178"/>
      <c r="F18" s="178"/>
      <c r="G18" s="167">
        <f t="shared" si="4"/>
        <v>855.4</v>
      </c>
    </row>
    <row r="19">
      <c r="B19" s="171"/>
      <c r="C19" s="155"/>
      <c r="D19" s="155"/>
      <c r="E19" s="121"/>
      <c r="F19" s="121"/>
      <c r="G19" s="121" t="s">
        <v>118</v>
      </c>
    </row>
    <row r="20">
      <c r="B20" s="164" t="s">
        <v>121</v>
      </c>
      <c r="C20" s="180"/>
      <c r="D20" s="165">
        <v>1500.0</v>
      </c>
      <c r="E20" s="167"/>
      <c r="F20" s="178"/>
      <c r="G20" s="167">
        <f>SUM(C20:F20)</f>
        <v>1500</v>
      </c>
    </row>
    <row r="21">
      <c r="B21" s="171"/>
      <c r="C21" s="155"/>
      <c r="D21" s="155"/>
      <c r="E21" s="121"/>
      <c r="F21" s="121"/>
      <c r="G21" s="121" t="s">
        <v>118</v>
      </c>
    </row>
    <row r="22">
      <c r="B22" s="182" t="s">
        <v>122</v>
      </c>
      <c r="C22" s="183">
        <f t="shared" ref="C22:D22" si="6">C10*5</f>
        <v>1310</v>
      </c>
      <c r="D22" s="183">
        <f t="shared" si="6"/>
        <v>1310</v>
      </c>
      <c r="E22" s="185"/>
      <c r="F22" s="185"/>
      <c r="G22" s="184">
        <f>SUM(C22:F22)</f>
        <v>2620</v>
      </c>
    </row>
    <row r="23">
      <c r="B23" s="186"/>
      <c r="C23" s="187"/>
      <c r="D23" s="187"/>
      <c r="E23" s="136"/>
      <c r="F23" s="136"/>
      <c r="G23" s="136"/>
    </row>
    <row r="24">
      <c r="B24" s="192" t="s">
        <v>123</v>
      </c>
      <c r="C24" s="193">
        <f t="shared" ref="C24:F24" si="7">C14+C18+C20+C22</f>
        <v>3313.529412</v>
      </c>
      <c r="D24" s="193">
        <f t="shared" si="7"/>
        <v>6285.4</v>
      </c>
      <c r="E24" s="195">
        <f t="shared" si="7"/>
        <v>0</v>
      </c>
      <c r="F24" s="195">
        <f t="shared" si="7"/>
        <v>0</v>
      </c>
      <c r="G24" s="196">
        <f>SUM(C24:F24)</f>
        <v>9598.929412</v>
      </c>
    </row>
    <row r="25">
      <c r="B25" s="58"/>
      <c r="C25" s="58"/>
      <c r="D25" s="58"/>
      <c r="E25" s="58"/>
      <c r="F25" s="58"/>
      <c r="G25" s="58"/>
    </row>
    <row r="26">
      <c r="B26" s="58"/>
      <c r="C26" s="58"/>
      <c r="D26" s="58"/>
      <c r="E26" s="58"/>
      <c r="F26" s="58"/>
      <c r="G26" s="58"/>
    </row>
    <row r="27">
      <c r="B27" s="58"/>
      <c r="C27" s="58"/>
      <c r="D27" s="58"/>
      <c r="E27" s="58"/>
      <c r="F27" s="58" t="s">
        <v>530</v>
      </c>
      <c r="G27" s="75">
        <v>0.0</v>
      </c>
    </row>
    <row r="28">
      <c r="B28" s="58"/>
      <c r="C28" s="58"/>
      <c r="D28" s="58"/>
      <c r="E28" s="58"/>
      <c r="F28" s="58" t="s">
        <v>531</v>
      </c>
      <c r="G28" s="75"/>
    </row>
    <row r="29">
      <c r="B29" s="58"/>
      <c r="C29" s="58"/>
      <c r="D29" s="58"/>
      <c r="E29" s="58"/>
      <c r="F29" s="58" t="s">
        <v>532</v>
      </c>
      <c r="G29" s="75"/>
    </row>
    <row r="30">
      <c r="B30" s="58"/>
      <c r="C30" s="58"/>
      <c r="D30" s="58"/>
      <c r="E30" s="58"/>
      <c r="F30" s="58" t="s">
        <v>533</v>
      </c>
      <c r="G30" s="75"/>
    </row>
    <row r="31">
      <c r="B31" s="58"/>
      <c r="C31" s="58"/>
      <c r="D31" s="58"/>
      <c r="E31" s="58"/>
      <c r="F31" s="58" t="s">
        <v>534</v>
      </c>
      <c r="G31" s="123"/>
    </row>
    <row r="32">
      <c r="B32" s="58"/>
      <c r="C32" s="58"/>
      <c r="D32" s="58"/>
      <c r="E32" s="114"/>
      <c r="F32" s="763" t="s">
        <v>535</v>
      </c>
      <c r="G32" s="196">
        <f>SUM(G27:G31)</f>
        <v>0</v>
      </c>
    </row>
    <row r="33">
      <c r="B33" s="58"/>
      <c r="C33" s="58"/>
      <c r="D33" s="58"/>
      <c r="E33" s="114"/>
      <c r="F33" s="763" t="s">
        <v>536</v>
      </c>
      <c r="G33" s="764">
        <f>G24+G32</f>
        <v>9598.929412</v>
      </c>
    </row>
    <row r="34">
      <c r="B34" s="58"/>
      <c r="C34" s="58"/>
      <c r="D34" s="58"/>
      <c r="E34" s="58"/>
      <c r="F34" s="58"/>
      <c r="G34" s="58"/>
    </row>
    <row r="35">
      <c r="B35" s="58"/>
      <c r="C35" s="58"/>
      <c r="D35" s="58"/>
      <c r="E35" s="58"/>
      <c r="F35" s="58" t="s">
        <v>88</v>
      </c>
      <c r="G35" s="765">
        <v>20000.0</v>
      </c>
    </row>
    <row r="36">
      <c r="B36" s="58"/>
      <c r="C36" s="58"/>
      <c r="D36" s="58"/>
      <c r="E36" s="58"/>
      <c r="F36" s="58"/>
      <c r="G36" s="58"/>
    </row>
    <row r="37">
      <c r="B37" s="58"/>
      <c r="C37" s="58"/>
      <c r="D37" s="58"/>
      <c r="E37" s="114"/>
      <c r="F37" s="766" t="s">
        <v>537</v>
      </c>
      <c r="G37" s="767">
        <f>G35-G33</f>
        <v>10401.07059</v>
      </c>
    </row>
  </sheetData>
  <mergeCells count="2">
    <mergeCell ref="B2:G2"/>
    <mergeCell ref="C5:G5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3.14"/>
    <col customWidth="1" min="2" max="2" width="14.43"/>
    <col customWidth="1" min="3" max="3" width="54.43"/>
    <col customWidth="1" min="6" max="9" width="3.14"/>
  </cols>
  <sheetData>
    <row r="2" ht="26.25" customHeight="1">
      <c r="B2" s="510"/>
      <c r="C2" s="510"/>
      <c r="D2" s="510"/>
      <c r="E2" s="510"/>
    </row>
    <row r="3" ht="26.25" customHeight="1">
      <c r="B3" s="510"/>
      <c r="C3" s="510"/>
      <c r="D3" s="510"/>
      <c r="E3" s="510"/>
    </row>
    <row r="4" ht="26.25" customHeight="1">
      <c r="B4" s="510"/>
      <c r="C4" s="510"/>
      <c r="D4" s="510"/>
      <c r="E4" s="510"/>
    </row>
    <row r="5" ht="26.25" customHeight="1">
      <c r="B5" s="510"/>
      <c r="C5" s="510"/>
      <c r="D5" s="510"/>
      <c r="E5" s="510"/>
    </row>
    <row r="6" ht="1.5" customHeight="1">
      <c r="B6" s="510"/>
      <c r="C6" s="510"/>
      <c r="D6" s="510"/>
      <c r="E6" s="510"/>
    </row>
    <row r="8">
      <c r="B8" s="319" t="s">
        <v>538</v>
      </c>
    </row>
    <row r="10">
      <c r="B10" s="1" t="s">
        <v>539</v>
      </c>
      <c r="C10" s="1" t="s">
        <v>540</v>
      </c>
      <c r="D10" s="328" t="s">
        <v>541</v>
      </c>
      <c r="E10" s="1" t="s">
        <v>542</v>
      </c>
    </row>
    <row r="11">
      <c r="B11" s="1" t="s">
        <v>543</v>
      </c>
      <c r="C11" s="1" t="s">
        <v>544</v>
      </c>
    </row>
    <row r="12">
      <c r="B12" s="1" t="s">
        <v>539</v>
      </c>
      <c r="C12" s="1" t="s">
        <v>545</v>
      </c>
    </row>
    <row r="13">
      <c r="B13" s="1" t="s">
        <v>546</v>
      </c>
      <c r="C13" s="1" t="s">
        <v>547</v>
      </c>
    </row>
    <row r="14">
      <c r="B14" s="1" t="s">
        <v>548</v>
      </c>
      <c r="C14" s="1" t="s">
        <v>162</v>
      </c>
    </row>
    <row r="16">
      <c r="B16" s="732"/>
      <c r="C16" s="42" t="s">
        <v>166</v>
      </c>
      <c r="D16" s="43" t="s">
        <v>167</v>
      </c>
      <c r="E16" s="45"/>
    </row>
    <row r="17">
      <c r="B17" s="19"/>
      <c r="C17" s="19"/>
      <c r="D17" s="768" t="s">
        <v>168</v>
      </c>
      <c r="E17" s="769">
        <v>32.0</v>
      </c>
    </row>
    <row r="18">
      <c r="B18" s="21"/>
      <c r="C18" s="21"/>
      <c r="D18" s="46" t="s">
        <v>169</v>
      </c>
      <c r="E18" s="46" t="s">
        <v>170</v>
      </c>
    </row>
    <row r="19">
      <c r="A19" s="1"/>
      <c r="B19" s="47">
        <v>1.0</v>
      </c>
      <c r="C19" s="770" t="s">
        <v>500</v>
      </c>
      <c r="D19" s="771">
        <v>1230.0</v>
      </c>
      <c r="E19" s="772">
        <f>D19*$E$17</f>
        <v>39360</v>
      </c>
    </row>
    <row r="20">
      <c r="A20" s="1"/>
      <c r="B20" s="47">
        <v>2.0</v>
      </c>
      <c r="C20" s="770" t="s">
        <v>173</v>
      </c>
      <c r="D20" s="773"/>
      <c r="E20" s="774">
        <v>5740.0</v>
      </c>
    </row>
    <row r="21">
      <c r="A21" s="1"/>
      <c r="B21" s="47">
        <v>3.0</v>
      </c>
      <c r="C21" s="770" t="s">
        <v>174</v>
      </c>
      <c r="D21" s="771">
        <v>150.0</v>
      </c>
      <c r="E21" s="772">
        <f>D21*$E$17</f>
        <v>4800</v>
      </c>
    </row>
    <row r="22">
      <c r="A22" s="1"/>
      <c r="B22" s="47"/>
      <c r="C22" s="47"/>
      <c r="D22" s="773"/>
      <c r="E22" s="773"/>
    </row>
    <row r="23">
      <c r="B23" s="47"/>
      <c r="C23" s="770" t="s">
        <v>203</v>
      </c>
      <c r="D23" s="773"/>
      <c r="E23" s="774">
        <f>SUM(E24:E34)</f>
        <v>11090</v>
      </c>
    </row>
    <row r="24">
      <c r="A24" s="1"/>
      <c r="B24" s="47">
        <v>4.0</v>
      </c>
      <c r="C24" s="47" t="s">
        <v>501</v>
      </c>
      <c r="D24" s="773"/>
      <c r="E24" s="771">
        <v>3000.0</v>
      </c>
    </row>
    <row r="25">
      <c r="A25" s="1"/>
      <c r="B25" s="47">
        <v>5.0</v>
      </c>
      <c r="C25" s="47" t="s">
        <v>502</v>
      </c>
      <c r="D25" s="773"/>
      <c r="E25" s="771">
        <v>1500.0</v>
      </c>
    </row>
    <row r="26">
      <c r="A26" s="1"/>
      <c r="B26" s="47">
        <v>6.0</v>
      </c>
      <c r="C26" s="47" t="s">
        <v>503</v>
      </c>
      <c r="D26" s="773"/>
      <c r="E26" s="771">
        <v>30.0</v>
      </c>
    </row>
    <row r="27">
      <c r="A27" s="1"/>
      <c r="B27" s="47">
        <v>7.0</v>
      </c>
      <c r="C27" s="47" t="s">
        <v>504</v>
      </c>
      <c r="D27" s="773"/>
      <c r="E27" s="771">
        <v>1000.0</v>
      </c>
    </row>
    <row r="28">
      <c r="A28" s="1"/>
      <c r="B28" s="47">
        <v>8.0</v>
      </c>
      <c r="C28" s="47" t="s">
        <v>505</v>
      </c>
      <c r="D28" s="773"/>
      <c r="E28" s="771">
        <v>260.0</v>
      </c>
    </row>
    <row r="29">
      <c r="A29" s="1"/>
      <c r="B29" s="47">
        <v>9.0</v>
      </c>
      <c r="C29" s="47" t="s">
        <v>506</v>
      </c>
      <c r="D29" s="773"/>
      <c r="E29" s="773"/>
    </row>
    <row r="30">
      <c r="A30" s="1"/>
      <c r="B30" s="47">
        <v>10.0</v>
      </c>
      <c r="C30" s="47" t="s">
        <v>507</v>
      </c>
      <c r="D30" s="773"/>
      <c r="E30" s="773"/>
    </row>
    <row r="31">
      <c r="A31" s="1"/>
      <c r="B31" s="47">
        <v>13.0</v>
      </c>
      <c r="C31" s="47" t="s">
        <v>508</v>
      </c>
      <c r="D31" s="773"/>
      <c r="E31" s="773">
        <v>700.0</v>
      </c>
    </row>
    <row r="32">
      <c r="A32" s="1"/>
      <c r="B32" s="47">
        <v>14.0</v>
      </c>
      <c r="C32" s="47" t="s">
        <v>509</v>
      </c>
      <c r="D32" s="773"/>
      <c r="E32" s="773">
        <v>500.0</v>
      </c>
    </row>
    <row r="33">
      <c r="A33" s="1"/>
      <c r="B33" s="47">
        <v>11.0</v>
      </c>
      <c r="C33" s="47" t="s">
        <v>510</v>
      </c>
      <c r="D33" s="773"/>
      <c r="E33" s="771">
        <v>1500.0</v>
      </c>
    </row>
    <row r="34">
      <c r="A34" s="1"/>
      <c r="B34" s="47">
        <v>12.0</v>
      </c>
      <c r="C34" s="47" t="s">
        <v>511</v>
      </c>
      <c r="D34" s="773"/>
      <c r="E34" s="773">
        <v>2600.0</v>
      </c>
    </row>
    <row r="35">
      <c r="A35" s="1"/>
      <c r="B35" s="47"/>
      <c r="C35" s="47"/>
      <c r="D35" s="773"/>
      <c r="E35" s="773"/>
    </row>
    <row r="36">
      <c r="A36" s="1"/>
      <c r="B36" s="47"/>
      <c r="C36" s="47"/>
      <c r="D36" s="773"/>
      <c r="E36" s="773"/>
    </row>
    <row r="37">
      <c r="A37" s="1"/>
      <c r="B37" s="47"/>
      <c r="C37" s="770" t="s">
        <v>512</v>
      </c>
      <c r="D37" s="775"/>
      <c r="E37" s="774">
        <f>SUM(E38:E41)</f>
        <v>15733</v>
      </c>
    </row>
    <row r="38">
      <c r="A38" s="1"/>
      <c r="B38" s="47"/>
      <c r="C38" s="770" t="s">
        <v>513</v>
      </c>
      <c r="D38" s="775"/>
      <c r="E38" s="771">
        <v>14000.0</v>
      </c>
    </row>
    <row r="39">
      <c r="A39" s="1"/>
      <c r="B39" s="47">
        <v>15.0</v>
      </c>
      <c r="C39" s="47" t="s">
        <v>514</v>
      </c>
      <c r="D39" s="773"/>
      <c r="E39" s="771">
        <v>130.0</v>
      </c>
    </row>
    <row r="40">
      <c r="A40" s="1"/>
      <c r="B40" s="47">
        <v>16.0</v>
      </c>
      <c r="C40" s="47" t="s">
        <v>189</v>
      </c>
      <c r="D40" s="773"/>
      <c r="E40" s="771">
        <v>800.0</v>
      </c>
    </row>
    <row r="41">
      <c r="B41" s="47">
        <v>17.0</v>
      </c>
      <c r="C41" s="47" t="s">
        <v>190</v>
      </c>
      <c r="D41" s="773"/>
      <c r="E41" s="771">
        <v>803.0</v>
      </c>
    </row>
    <row r="42">
      <c r="B42" s="47"/>
      <c r="C42" s="731"/>
      <c r="D42" s="773"/>
      <c r="E42" s="773"/>
    </row>
    <row r="43">
      <c r="B43" s="731"/>
      <c r="C43" s="47" t="s">
        <v>196</v>
      </c>
      <c r="D43" s="773"/>
      <c r="E43" s="775">
        <f>E37+E23+E19+E20+E21</f>
        <v>76723</v>
      </c>
    </row>
    <row r="44">
      <c r="C44" s="1" t="s">
        <v>549</v>
      </c>
    </row>
    <row r="45">
      <c r="C45" s="1" t="s">
        <v>550</v>
      </c>
    </row>
    <row r="46">
      <c r="C46" s="1" t="s">
        <v>551</v>
      </c>
    </row>
    <row r="49">
      <c r="F49" s="776"/>
      <c r="G49" s="776"/>
      <c r="H49" s="776"/>
      <c r="I49" s="777"/>
    </row>
    <row r="50">
      <c r="F50" s="322"/>
      <c r="G50" s="322"/>
      <c r="H50" s="322"/>
      <c r="I50" s="778"/>
    </row>
    <row r="51">
      <c r="F51" s="322"/>
      <c r="G51" s="322"/>
      <c r="H51" s="322"/>
      <c r="I51" s="778"/>
    </row>
    <row r="52">
      <c r="F52" s="776"/>
      <c r="G52" s="776"/>
      <c r="H52" s="776"/>
      <c r="I52" s="777"/>
    </row>
  </sheetData>
  <mergeCells count="5">
    <mergeCell ref="B8:E8"/>
    <mergeCell ref="B16:B18"/>
    <mergeCell ref="C16:C18"/>
    <mergeCell ref="D16:E16"/>
    <mergeCell ref="B48:E53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showGridLines="0" workbookViewId="0"/>
  </sheetViews>
  <sheetFormatPr customHeight="1" defaultColWidth="14.43" defaultRowHeight="15.75"/>
  <cols>
    <col customWidth="1" min="1" max="1" width="3.14"/>
    <col customWidth="1" min="2" max="2" width="14.43"/>
    <col customWidth="1" min="3" max="3" width="54.43"/>
    <col customWidth="1" min="6" max="9" width="3.14"/>
  </cols>
  <sheetData>
    <row r="2" ht="26.25" customHeight="1">
      <c r="B2" s="510"/>
      <c r="C2" s="510"/>
      <c r="D2" s="510"/>
      <c r="E2" s="510"/>
    </row>
    <row r="3" ht="26.25" customHeight="1">
      <c r="B3" s="510"/>
      <c r="C3" s="510"/>
      <c r="D3" s="510"/>
      <c r="E3" s="510"/>
    </row>
    <row r="4" ht="26.25" customHeight="1">
      <c r="B4" s="510"/>
      <c r="C4" s="510"/>
      <c r="D4" s="510"/>
      <c r="E4" s="510"/>
    </row>
    <row r="5" ht="26.25" customHeight="1">
      <c r="B5" s="510"/>
      <c r="C5" s="510"/>
      <c r="D5" s="510"/>
      <c r="E5" s="510"/>
    </row>
    <row r="6" ht="1.5" customHeight="1">
      <c r="B6" s="510"/>
      <c r="C6" s="510"/>
      <c r="D6" s="510"/>
      <c r="E6" s="510"/>
    </row>
    <row r="8">
      <c r="B8" s="319" t="s">
        <v>538</v>
      </c>
    </row>
    <row r="10">
      <c r="B10" s="1" t="s">
        <v>539</v>
      </c>
      <c r="C10" s="1" t="s">
        <v>540</v>
      </c>
      <c r="D10" s="328" t="s">
        <v>541</v>
      </c>
      <c r="E10" s="1" t="s">
        <v>542</v>
      </c>
    </row>
    <row r="11">
      <c r="B11" s="1" t="s">
        <v>543</v>
      </c>
      <c r="C11" s="1" t="s">
        <v>544</v>
      </c>
    </row>
    <row r="12">
      <c r="B12" s="1" t="s">
        <v>539</v>
      </c>
      <c r="C12" s="1" t="s">
        <v>545</v>
      </c>
    </row>
    <row r="13">
      <c r="B13" s="1" t="s">
        <v>546</v>
      </c>
      <c r="C13" s="1" t="s">
        <v>547</v>
      </c>
    </row>
    <row r="14">
      <c r="B14" s="1" t="s">
        <v>548</v>
      </c>
      <c r="C14" s="1" t="s">
        <v>163</v>
      </c>
    </row>
    <row r="16">
      <c r="B16" s="732"/>
      <c r="C16" s="42" t="s">
        <v>166</v>
      </c>
      <c r="D16" s="43" t="s">
        <v>167</v>
      </c>
      <c r="E16" s="45"/>
    </row>
    <row r="17">
      <c r="B17" s="19"/>
      <c r="C17" s="19"/>
      <c r="D17" s="768" t="s">
        <v>168</v>
      </c>
      <c r="E17" s="769">
        <v>32.0</v>
      </c>
    </row>
    <row r="18">
      <c r="B18" s="21"/>
      <c r="C18" s="21"/>
      <c r="D18" s="46" t="s">
        <v>169</v>
      </c>
      <c r="E18" s="46" t="s">
        <v>170</v>
      </c>
    </row>
    <row r="19">
      <c r="A19" s="1"/>
      <c r="B19" s="47">
        <v>1.0</v>
      </c>
      <c r="C19" s="770" t="s">
        <v>500</v>
      </c>
      <c r="D19" s="771">
        <v>1450.0</v>
      </c>
      <c r="E19" s="772">
        <f>D19*$E$17</f>
        <v>46400</v>
      </c>
    </row>
    <row r="20">
      <c r="A20" s="1"/>
      <c r="B20" s="47">
        <v>2.0</v>
      </c>
      <c r="C20" s="770" t="s">
        <v>173</v>
      </c>
      <c r="D20" s="773"/>
      <c r="E20" s="774">
        <v>5740.0</v>
      </c>
    </row>
    <row r="21">
      <c r="A21" s="1"/>
      <c r="B21" s="47">
        <v>3.0</v>
      </c>
      <c r="C21" s="770" t="s">
        <v>174</v>
      </c>
      <c r="D21" s="771">
        <v>150.0</v>
      </c>
      <c r="E21" s="772">
        <f>D21*$E$17</f>
        <v>4800</v>
      </c>
    </row>
    <row r="22">
      <c r="A22" s="1"/>
      <c r="B22" s="47"/>
      <c r="C22" s="47"/>
      <c r="D22" s="773"/>
      <c r="E22" s="773"/>
    </row>
    <row r="23">
      <c r="B23" s="47"/>
      <c r="C23" s="770" t="s">
        <v>203</v>
      </c>
      <c r="D23" s="773"/>
      <c r="E23" s="774">
        <f>SUM(E24:E34)</f>
        <v>11090</v>
      </c>
    </row>
    <row r="24">
      <c r="A24" s="1"/>
      <c r="B24" s="47">
        <v>4.0</v>
      </c>
      <c r="C24" s="47" t="s">
        <v>501</v>
      </c>
      <c r="D24" s="773"/>
      <c r="E24" s="771">
        <v>3000.0</v>
      </c>
    </row>
    <row r="25">
      <c r="A25" s="1"/>
      <c r="B25" s="47">
        <v>5.0</v>
      </c>
      <c r="C25" s="47" t="s">
        <v>502</v>
      </c>
      <c r="D25" s="773"/>
      <c r="E25" s="771">
        <v>1500.0</v>
      </c>
    </row>
    <row r="26">
      <c r="A26" s="1"/>
      <c r="B26" s="47">
        <v>6.0</v>
      </c>
      <c r="C26" s="47" t="s">
        <v>503</v>
      </c>
      <c r="D26" s="773"/>
      <c r="E26" s="771">
        <v>30.0</v>
      </c>
    </row>
    <row r="27">
      <c r="A27" s="1"/>
      <c r="B27" s="47">
        <v>7.0</v>
      </c>
      <c r="C27" s="47" t="s">
        <v>504</v>
      </c>
      <c r="D27" s="773"/>
      <c r="E27" s="771">
        <v>1000.0</v>
      </c>
    </row>
    <row r="28">
      <c r="A28" s="1"/>
      <c r="B28" s="47">
        <v>8.0</v>
      </c>
      <c r="C28" s="47" t="s">
        <v>505</v>
      </c>
      <c r="D28" s="773"/>
      <c r="E28" s="771">
        <v>260.0</v>
      </c>
    </row>
    <row r="29">
      <c r="A29" s="1"/>
      <c r="B29" s="47">
        <v>9.0</v>
      </c>
      <c r="C29" s="47" t="s">
        <v>506</v>
      </c>
      <c r="D29" s="773"/>
      <c r="E29" s="773"/>
    </row>
    <row r="30">
      <c r="A30" s="1"/>
      <c r="B30" s="47">
        <v>10.0</v>
      </c>
      <c r="C30" s="47" t="s">
        <v>507</v>
      </c>
      <c r="D30" s="773"/>
      <c r="E30" s="773"/>
    </row>
    <row r="31">
      <c r="A31" s="1"/>
      <c r="B31" s="47">
        <v>11.0</v>
      </c>
      <c r="C31" s="47" t="s">
        <v>510</v>
      </c>
      <c r="D31" s="773"/>
      <c r="E31" s="771">
        <v>1500.0</v>
      </c>
    </row>
    <row r="32">
      <c r="A32" s="1"/>
      <c r="B32" s="47">
        <v>13.0</v>
      </c>
      <c r="C32" s="47" t="s">
        <v>508</v>
      </c>
      <c r="D32" s="773"/>
      <c r="E32" s="771">
        <v>700.0</v>
      </c>
    </row>
    <row r="33">
      <c r="A33" s="1"/>
      <c r="B33" s="47">
        <v>14.0</v>
      </c>
      <c r="C33" s="47" t="s">
        <v>509</v>
      </c>
      <c r="D33" s="773"/>
      <c r="E33" s="771">
        <v>500.0</v>
      </c>
    </row>
    <row r="34">
      <c r="A34" s="1"/>
      <c r="B34" s="47">
        <v>12.0</v>
      </c>
      <c r="C34" s="47" t="s">
        <v>511</v>
      </c>
      <c r="D34" s="773"/>
      <c r="E34" s="771">
        <v>2600.0</v>
      </c>
    </row>
    <row r="35">
      <c r="A35" s="1"/>
      <c r="B35" s="47"/>
      <c r="C35" s="47"/>
      <c r="D35" s="773"/>
      <c r="E35" s="773"/>
    </row>
    <row r="36">
      <c r="A36" s="1"/>
      <c r="B36" s="47"/>
      <c r="C36" s="47"/>
      <c r="D36" s="773"/>
      <c r="E36" s="773"/>
    </row>
    <row r="37">
      <c r="A37" s="1"/>
      <c r="B37" s="47"/>
      <c r="C37" s="770" t="s">
        <v>512</v>
      </c>
      <c r="D37" s="775"/>
      <c r="E37" s="774">
        <f>SUM(E38:E41)</f>
        <v>15733</v>
      </c>
    </row>
    <row r="38">
      <c r="A38" s="1"/>
      <c r="B38" s="47"/>
      <c r="C38" s="770" t="s">
        <v>513</v>
      </c>
      <c r="D38" s="775"/>
      <c r="E38" s="771">
        <v>14000.0</v>
      </c>
    </row>
    <row r="39">
      <c r="A39" s="1"/>
      <c r="B39" s="47">
        <v>15.0</v>
      </c>
      <c r="C39" s="47" t="s">
        <v>514</v>
      </c>
      <c r="D39" s="773"/>
      <c r="E39" s="771">
        <v>130.0</v>
      </c>
    </row>
    <row r="40">
      <c r="A40" s="1"/>
      <c r="B40" s="47">
        <v>16.0</v>
      </c>
      <c r="C40" s="47" t="s">
        <v>189</v>
      </c>
      <c r="D40" s="773"/>
      <c r="E40" s="771">
        <v>800.0</v>
      </c>
    </row>
    <row r="41">
      <c r="B41" s="47">
        <v>17.0</v>
      </c>
      <c r="C41" s="47" t="s">
        <v>190</v>
      </c>
      <c r="D41" s="773"/>
      <c r="E41" s="771">
        <v>803.0</v>
      </c>
    </row>
    <row r="42">
      <c r="B42" s="47"/>
      <c r="C42" s="731"/>
      <c r="D42" s="773"/>
      <c r="E42" s="773"/>
    </row>
    <row r="43">
      <c r="B43" s="731"/>
      <c r="C43" s="47" t="s">
        <v>196</v>
      </c>
      <c r="D43" s="773"/>
      <c r="E43" s="775">
        <f>E37+E23+E19+E20+E21</f>
        <v>83763</v>
      </c>
    </row>
    <row r="44">
      <c r="C44" s="1" t="s">
        <v>549</v>
      </c>
    </row>
    <row r="45">
      <c r="C45" s="1" t="s">
        <v>550</v>
      </c>
    </row>
    <row r="46">
      <c r="C46" s="1" t="s">
        <v>551</v>
      </c>
    </row>
    <row r="49">
      <c r="F49" s="776"/>
      <c r="G49" s="776"/>
      <c r="H49" s="776"/>
      <c r="I49" s="777"/>
    </row>
    <row r="50">
      <c r="F50" s="322"/>
      <c r="G50" s="322"/>
      <c r="H50" s="322"/>
      <c r="I50" s="778"/>
    </row>
    <row r="51">
      <c r="F51" s="322"/>
      <c r="G51" s="322"/>
      <c r="H51" s="322"/>
      <c r="I51" s="778"/>
    </row>
    <row r="52">
      <c r="F52" s="776"/>
      <c r="G52" s="776"/>
      <c r="H52" s="776"/>
      <c r="I52" s="777"/>
    </row>
  </sheetData>
  <mergeCells count="5">
    <mergeCell ref="B8:E8"/>
    <mergeCell ref="B16:B18"/>
    <mergeCell ref="C16:C18"/>
    <mergeCell ref="D16:E16"/>
    <mergeCell ref="B48:E53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75"/>
  <cols>
    <col customWidth="1" min="1" max="1" width="2.71"/>
    <col customWidth="1" min="2" max="2" width="7.57"/>
    <col customWidth="1" min="3" max="3" width="21.57"/>
    <col customWidth="1" min="4" max="4" width="21.0"/>
    <col customWidth="1" min="5" max="5" width="20.86"/>
    <col customWidth="1" min="6" max="7" width="21.57"/>
    <col customWidth="1" min="8" max="8" width="18.86"/>
    <col customWidth="1" min="9" max="9" width="2.71"/>
  </cols>
  <sheetData>
    <row r="1" ht="21.0" customHeight="1">
      <c r="A1" s="410"/>
      <c r="B1" s="410"/>
      <c r="C1" s="410"/>
      <c r="D1" s="411" t="s">
        <v>295</v>
      </c>
      <c r="E1" s="411"/>
      <c r="F1" s="412"/>
      <c r="G1" s="412"/>
      <c r="H1" s="412"/>
      <c r="I1" s="415"/>
    </row>
    <row r="2" ht="18.0" customHeight="1">
      <c r="A2" s="410"/>
      <c r="B2" s="410"/>
      <c r="C2" s="410"/>
      <c r="D2" s="415" t="s">
        <v>296</v>
      </c>
      <c r="E2" s="415"/>
      <c r="F2" s="415"/>
      <c r="G2" s="415"/>
      <c r="H2" s="412"/>
      <c r="I2" s="412"/>
    </row>
    <row r="3" ht="18.0" customHeight="1">
      <c r="A3" s="410"/>
      <c r="B3" s="410"/>
      <c r="C3" s="410"/>
      <c r="D3" s="779" t="s">
        <v>552</v>
      </c>
      <c r="E3" s="415"/>
      <c r="F3" s="415"/>
      <c r="G3" s="415"/>
      <c r="H3" s="412"/>
      <c r="I3" s="412"/>
    </row>
    <row r="4" ht="18.0" customHeight="1">
      <c r="A4" s="410"/>
      <c r="B4" s="410"/>
      <c r="C4" s="410"/>
      <c r="D4" s="410"/>
      <c r="E4" s="410"/>
      <c r="F4" s="410"/>
      <c r="G4" s="780"/>
      <c r="H4" s="781"/>
      <c r="I4" s="410"/>
    </row>
    <row r="5" ht="18.0" customHeight="1">
      <c r="A5" s="410"/>
      <c r="B5" s="410"/>
      <c r="C5" s="410"/>
      <c r="D5" s="410"/>
      <c r="E5" s="410"/>
      <c r="F5" s="410"/>
      <c r="G5" s="780"/>
      <c r="H5" s="781"/>
      <c r="I5" s="410"/>
    </row>
    <row r="6" ht="50.25" customHeight="1">
      <c r="A6" s="422"/>
      <c r="B6" s="422"/>
      <c r="C6" s="423" t="s">
        <v>298</v>
      </c>
      <c r="I6" s="422"/>
    </row>
    <row r="7" ht="50.25" customHeight="1">
      <c r="A7" s="422"/>
      <c r="B7" s="422"/>
      <c r="C7" s="424" t="s">
        <v>299</v>
      </c>
      <c r="I7" s="422"/>
    </row>
    <row r="8" ht="12.0" customHeight="1">
      <c r="A8" s="422"/>
      <c r="B8" s="441"/>
      <c r="C8" s="422"/>
      <c r="D8" s="422"/>
      <c r="E8" s="422"/>
      <c r="F8" s="422"/>
      <c r="G8" s="782"/>
      <c r="H8" s="783"/>
      <c r="I8" s="422"/>
    </row>
    <row r="9" ht="50.25" customHeight="1">
      <c r="A9" s="422"/>
      <c r="B9" s="784" t="s">
        <v>553</v>
      </c>
      <c r="C9" s="426"/>
      <c r="D9" s="426"/>
      <c r="E9" s="426"/>
      <c r="F9" s="426"/>
      <c r="G9" s="426"/>
      <c r="H9" s="427"/>
      <c r="I9" s="422"/>
    </row>
    <row r="10" ht="50.25" customHeight="1">
      <c r="A10" s="422"/>
      <c r="B10" s="428">
        <v>1.0</v>
      </c>
      <c r="C10" s="422" t="s">
        <v>554</v>
      </c>
      <c r="D10" s="422"/>
      <c r="E10" s="422"/>
      <c r="F10" s="422"/>
      <c r="G10" s="782">
        <v>145000.0</v>
      </c>
      <c r="H10" s="785" t="s">
        <v>302</v>
      </c>
      <c r="I10" s="422"/>
    </row>
    <row r="11" ht="50.25" customHeight="1">
      <c r="A11" s="422"/>
      <c r="B11" s="428">
        <v>2.0</v>
      </c>
      <c r="C11" s="422" t="s">
        <v>555</v>
      </c>
      <c r="D11" s="422"/>
      <c r="E11" s="422"/>
      <c r="F11" s="422"/>
      <c r="G11" s="782">
        <v>147000.0</v>
      </c>
      <c r="H11" s="785" t="s">
        <v>302</v>
      </c>
      <c r="I11" s="422"/>
    </row>
    <row r="12" ht="50.25" customHeight="1">
      <c r="A12" s="422"/>
      <c r="B12" s="428">
        <v>3.0</v>
      </c>
      <c r="C12" s="422" t="s">
        <v>556</v>
      </c>
      <c r="D12" s="422"/>
      <c r="E12" s="422"/>
      <c r="F12" s="422"/>
      <c r="G12" s="782">
        <v>150000.0</v>
      </c>
      <c r="H12" s="785" t="s">
        <v>302</v>
      </c>
      <c r="I12" s="422"/>
    </row>
    <row r="13" ht="50.25" customHeight="1">
      <c r="A13" s="422"/>
      <c r="B13" s="428">
        <v>4.0</v>
      </c>
      <c r="C13" s="422" t="s">
        <v>557</v>
      </c>
      <c r="D13" s="422"/>
      <c r="E13" s="422"/>
      <c r="F13" s="422"/>
      <c r="G13" s="782">
        <v>155000.0</v>
      </c>
      <c r="H13" s="785" t="s">
        <v>302</v>
      </c>
      <c r="I13" s="422"/>
    </row>
    <row r="14" ht="50.25" customHeight="1">
      <c r="A14" s="422"/>
      <c r="B14" s="437">
        <v>5.0</v>
      </c>
      <c r="C14" s="438" t="s">
        <v>558</v>
      </c>
      <c r="D14" s="438"/>
      <c r="E14" s="438"/>
      <c r="F14" s="438"/>
      <c r="G14" s="786">
        <v>160000.0</v>
      </c>
      <c r="H14" s="787" t="s">
        <v>302</v>
      </c>
      <c r="I14" s="422"/>
    </row>
    <row r="15" ht="14.25" customHeight="1">
      <c r="A15" s="422"/>
      <c r="B15" s="441"/>
      <c r="C15" s="422"/>
      <c r="D15" s="422"/>
      <c r="E15" s="422"/>
      <c r="F15" s="422"/>
      <c r="G15" s="782"/>
      <c r="H15" s="783"/>
      <c r="I15" s="422"/>
    </row>
    <row r="16" ht="50.25" customHeight="1">
      <c r="A16" s="422"/>
      <c r="B16" s="784" t="s">
        <v>559</v>
      </c>
      <c r="C16" s="426"/>
      <c r="D16" s="426"/>
      <c r="E16" s="426"/>
      <c r="F16" s="426"/>
      <c r="G16" s="426"/>
      <c r="H16" s="427"/>
      <c r="I16" s="422"/>
    </row>
    <row r="17" ht="50.25" customHeight="1">
      <c r="A17" s="422"/>
      <c r="B17" s="428">
        <v>1.0</v>
      </c>
      <c r="C17" s="422" t="s">
        <v>560</v>
      </c>
      <c r="D17" s="422"/>
      <c r="E17" s="422"/>
      <c r="F17" s="422"/>
      <c r="G17" s="782">
        <f t="shared" ref="G17:G21" si="1">G10+5000</f>
        <v>150000</v>
      </c>
      <c r="H17" s="785" t="s">
        <v>302</v>
      </c>
      <c r="I17" s="422"/>
    </row>
    <row r="18" ht="50.25" customHeight="1">
      <c r="A18" s="422"/>
      <c r="B18" s="428">
        <v>2.0</v>
      </c>
      <c r="C18" s="422" t="s">
        <v>561</v>
      </c>
      <c r="D18" s="422"/>
      <c r="E18" s="422"/>
      <c r="F18" s="422"/>
      <c r="G18" s="782">
        <f t="shared" si="1"/>
        <v>152000</v>
      </c>
      <c r="H18" s="785" t="s">
        <v>302</v>
      </c>
      <c r="I18" s="422"/>
    </row>
    <row r="19" ht="50.25" customHeight="1">
      <c r="A19" s="422"/>
      <c r="B19" s="428">
        <v>3.0</v>
      </c>
      <c r="C19" s="422" t="s">
        <v>562</v>
      </c>
      <c r="D19" s="422"/>
      <c r="E19" s="422"/>
      <c r="F19" s="422"/>
      <c r="G19" s="782">
        <f t="shared" si="1"/>
        <v>155000</v>
      </c>
      <c r="H19" s="785" t="s">
        <v>302</v>
      </c>
      <c r="I19" s="422"/>
    </row>
    <row r="20" ht="50.25" customHeight="1">
      <c r="A20" s="422"/>
      <c r="B20" s="428">
        <v>4.0</v>
      </c>
      <c r="C20" s="422" t="s">
        <v>563</v>
      </c>
      <c r="D20" s="422"/>
      <c r="E20" s="422"/>
      <c r="F20" s="422"/>
      <c r="G20" s="782">
        <f t="shared" si="1"/>
        <v>160000</v>
      </c>
      <c r="H20" s="785" t="s">
        <v>302</v>
      </c>
      <c r="I20" s="422"/>
    </row>
    <row r="21" ht="50.25" customHeight="1">
      <c r="A21" s="422"/>
      <c r="B21" s="437">
        <v>5.0</v>
      </c>
      <c r="C21" s="438" t="s">
        <v>564</v>
      </c>
      <c r="D21" s="438"/>
      <c r="E21" s="438"/>
      <c r="F21" s="438"/>
      <c r="G21" s="786">
        <f t="shared" si="1"/>
        <v>165000</v>
      </c>
      <c r="H21" s="787" t="s">
        <v>302</v>
      </c>
      <c r="I21" s="422"/>
    </row>
    <row r="22" ht="12.75" customHeight="1">
      <c r="A22" s="422"/>
      <c r="B22" s="422"/>
      <c r="C22" s="422"/>
      <c r="D22" s="422"/>
      <c r="E22" s="422"/>
      <c r="F22" s="422"/>
      <c r="G22" s="422"/>
      <c r="H22" s="422"/>
      <c r="I22" s="422"/>
    </row>
    <row r="23" ht="50.25" customHeight="1">
      <c r="A23" s="422"/>
      <c r="B23" s="424" t="s">
        <v>335</v>
      </c>
      <c r="I23" s="422"/>
    </row>
    <row r="24" ht="50.25" customHeight="1">
      <c r="A24" s="422"/>
      <c r="B24" s="422"/>
      <c r="C24" s="422"/>
      <c r="D24" s="422"/>
      <c r="E24" s="422"/>
      <c r="F24" s="422"/>
      <c r="G24" s="422"/>
      <c r="H24" s="422"/>
      <c r="I24" s="422"/>
    </row>
    <row r="25" ht="50.25" customHeight="1">
      <c r="A25" s="422"/>
      <c r="B25" s="422"/>
      <c r="C25" s="422"/>
      <c r="D25" s="422"/>
      <c r="E25" s="422"/>
      <c r="F25" s="422"/>
      <c r="G25" s="422"/>
      <c r="H25" s="422"/>
      <c r="I25" s="422"/>
    </row>
    <row r="26" ht="50.25" customHeight="1">
      <c r="A26" s="422"/>
      <c r="B26" s="422"/>
      <c r="C26" s="422"/>
      <c r="D26" s="422"/>
      <c r="E26" s="422"/>
      <c r="F26" s="422"/>
      <c r="G26" s="782"/>
      <c r="H26" s="783"/>
      <c r="I26" s="422"/>
    </row>
    <row r="27" ht="50.25" customHeight="1">
      <c r="A27" s="410"/>
      <c r="B27" s="410"/>
      <c r="C27" s="410"/>
      <c r="D27" s="410"/>
      <c r="E27" s="410"/>
      <c r="F27" s="410"/>
      <c r="G27" s="780"/>
      <c r="H27" s="781"/>
      <c r="I27" s="410"/>
    </row>
    <row r="28" ht="50.25" customHeight="1">
      <c r="A28" s="410"/>
      <c r="B28" s="410"/>
      <c r="C28" s="410"/>
      <c r="D28" s="410"/>
      <c r="E28" s="410"/>
      <c r="F28" s="410"/>
      <c r="G28" s="780"/>
      <c r="H28" s="781"/>
      <c r="I28" s="410"/>
    </row>
    <row r="29" ht="50.25" customHeight="1">
      <c r="A29" s="410"/>
      <c r="B29" s="410"/>
      <c r="C29" s="410"/>
      <c r="D29" s="410"/>
      <c r="E29" s="410"/>
      <c r="F29" s="410"/>
      <c r="G29" s="780"/>
      <c r="H29" s="781"/>
      <c r="I29" s="410"/>
    </row>
    <row r="30" ht="50.25" customHeight="1">
      <c r="A30" s="410"/>
      <c r="B30" s="410"/>
      <c r="C30" s="410"/>
      <c r="D30" s="410"/>
      <c r="E30" s="410"/>
      <c r="F30" s="410"/>
      <c r="G30" s="780"/>
      <c r="H30" s="781"/>
      <c r="I30" s="410"/>
    </row>
    <row r="31" ht="50.25" customHeight="1">
      <c r="A31" s="410"/>
      <c r="B31" s="410"/>
      <c r="C31" s="410"/>
      <c r="D31" s="410"/>
      <c r="E31" s="410"/>
      <c r="F31" s="410"/>
      <c r="G31" s="780"/>
      <c r="H31" s="781"/>
      <c r="I31" s="410"/>
    </row>
    <row r="32" ht="18.0" customHeight="1">
      <c r="A32" s="410"/>
      <c r="B32" s="410"/>
      <c r="C32" s="410"/>
      <c r="D32" s="410"/>
      <c r="E32" s="410"/>
      <c r="F32" s="410"/>
      <c r="G32" s="780"/>
      <c r="H32" s="781"/>
      <c r="I32" s="410"/>
    </row>
    <row r="33" ht="18.0" customHeight="1">
      <c r="A33" s="410"/>
      <c r="B33" s="410"/>
      <c r="C33" s="410"/>
      <c r="D33" s="410"/>
      <c r="E33" s="410"/>
      <c r="F33" s="410"/>
      <c r="G33" s="780"/>
      <c r="H33" s="781"/>
      <c r="I33" s="410"/>
    </row>
    <row r="34" ht="18.0" customHeight="1">
      <c r="A34" s="410"/>
      <c r="B34" s="410"/>
      <c r="C34" s="410"/>
      <c r="D34" s="410"/>
      <c r="E34" s="410"/>
      <c r="F34" s="410"/>
      <c r="G34" s="780"/>
      <c r="H34" s="781"/>
      <c r="I34" s="410"/>
    </row>
    <row r="35" ht="18.0" customHeight="1">
      <c r="A35" s="410"/>
      <c r="B35" s="410"/>
      <c r="C35" s="410"/>
      <c r="D35" s="410"/>
      <c r="E35" s="410"/>
      <c r="F35" s="410"/>
      <c r="G35" s="780"/>
      <c r="H35" s="781"/>
      <c r="I35" s="410"/>
    </row>
    <row r="36" ht="18.0" customHeight="1">
      <c r="A36" s="410"/>
      <c r="B36" s="410"/>
      <c r="C36" s="410"/>
      <c r="D36" s="410"/>
      <c r="E36" s="410"/>
      <c r="F36" s="410"/>
      <c r="G36" s="780"/>
      <c r="H36" s="781"/>
      <c r="I36" s="410"/>
    </row>
    <row r="37" ht="18.0" customHeight="1">
      <c r="A37" s="410"/>
      <c r="B37" s="410"/>
      <c r="C37" s="410"/>
      <c r="D37" s="410"/>
      <c r="E37" s="410"/>
      <c r="F37" s="410"/>
      <c r="G37" s="780"/>
      <c r="H37" s="781"/>
      <c r="I37" s="410"/>
    </row>
    <row r="38" ht="18.0" customHeight="1">
      <c r="A38" s="410"/>
      <c r="B38" s="410"/>
      <c r="C38" s="410"/>
      <c r="D38" s="410"/>
      <c r="E38" s="410"/>
      <c r="F38" s="410"/>
      <c r="G38" s="780"/>
      <c r="H38" s="781"/>
      <c r="I38" s="410"/>
    </row>
    <row r="39" ht="18.0" customHeight="1">
      <c r="A39" s="410"/>
      <c r="B39" s="410"/>
      <c r="C39" s="410"/>
      <c r="D39" s="410"/>
      <c r="E39" s="410"/>
      <c r="F39" s="410"/>
      <c r="G39" s="780"/>
      <c r="H39" s="781"/>
      <c r="I39" s="410"/>
    </row>
    <row r="40" ht="18.0" customHeight="1">
      <c r="A40" s="410"/>
      <c r="B40" s="410"/>
      <c r="C40" s="410"/>
      <c r="D40" s="410"/>
      <c r="E40" s="410"/>
      <c r="F40" s="410"/>
      <c r="G40" s="780"/>
      <c r="H40" s="781"/>
      <c r="I40" s="410"/>
    </row>
    <row r="41" ht="18.0" customHeight="1">
      <c r="A41" s="410"/>
      <c r="B41" s="410"/>
      <c r="C41" s="410"/>
      <c r="D41" s="410"/>
      <c r="E41" s="410"/>
      <c r="F41" s="410"/>
      <c r="G41" s="780"/>
      <c r="H41" s="781"/>
      <c r="I41" s="410"/>
    </row>
    <row r="42" ht="18.0" customHeight="1">
      <c r="A42" s="410"/>
      <c r="B42" s="410"/>
      <c r="C42" s="410"/>
      <c r="D42" s="410"/>
      <c r="E42" s="410"/>
      <c r="F42" s="410"/>
      <c r="G42" s="780"/>
      <c r="H42" s="781"/>
      <c r="I42" s="410"/>
    </row>
    <row r="43" ht="18.0" customHeight="1">
      <c r="A43" s="410"/>
      <c r="B43" s="410"/>
      <c r="C43" s="410"/>
      <c r="D43" s="410"/>
      <c r="E43" s="410"/>
      <c r="F43" s="410"/>
      <c r="G43" s="780"/>
      <c r="H43" s="781"/>
      <c r="I43" s="410"/>
    </row>
    <row r="44" ht="18.0" customHeight="1">
      <c r="A44" s="410"/>
      <c r="B44" s="410"/>
      <c r="C44" s="410"/>
      <c r="D44" s="410"/>
      <c r="E44" s="410"/>
      <c r="F44" s="410"/>
      <c r="G44" s="780"/>
      <c r="H44" s="781"/>
      <c r="I44" s="410"/>
    </row>
    <row r="45" ht="18.0" customHeight="1">
      <c r="A45" s="410"/>
      <c r="B45" s="410"/>
      <c r="C45" s="410"/>
      <c r="D45" s="410"/>
      <c r="E45" s="410"/>
      <c r="F45" s="410"/>
      <c r="G45" s="780"/>
      <c r="H45" s="781"/>
      <c r="I45" s="410"/>
    </row>
    <row r="46" ht="18.0" customHeight="1">
      <c r="A46" s="410"/>
      <c r="B46" s="410"/>
      <c r="C46" s="410"/>
      <c r="D46" s="410"/>
      <c r="E46" s="410"/>
      <c r="F46" s="410"/>
      <c r="G46" s="780"/>
      <c r="H46" s="781"/>
      <c r="I46" s="410"/>
    </row>
    <row r="47" ht="18.0" customHeight="1">
      <c r="A47" s="410"/>
      <c r="B47" s="410"/>
      <c r="C47" s="410"/>
      <c r="D47" s="410"/>
      <c r="E47" s="410"/>
      <c r="F47" s="410"/>
      <c r="G47" s="780"/>
      <c r="H47" s="781"/>
      <c r="I47" s="410"/>
    </row>
    <row r="48" ht="18.0" customHeight="1">
      <c r="A48" s="410"/>
      <c r="B48" s="410"/>
      <c r="C48" s="410"/>
      <c r="D48" s="410"/>
      <c r="E48" s="410"/>
      <c r="F48" s="410"/>
      <c r="G48" s="780"/>
      <c r="H48" s="781"/>
      <c r="I48" s="410"/>
    </row>
    <row r="49" ht="18.0" customHeight="1">
      <c r="A49" s="410"/>
      <c r="B49" s="410"/>
      <c r="C49" s="410"/>
      <c r="D49" s="410"/>
      <c r="E49" s="410"/>
      <c r="F49" s="410"/>
      <c r="G49" s="780"/>
      <c r="H49" s="781"/>
      <c r="I49" s="410"/>
    </row>
    <row r="50" ht="18.0" customHeight="1">
      <c r="A50" s="410"/>
      <c r="B50" s="410"/>
      <c r="C50" s="410"/>
      <c r="D50" s="410"/>
      <c r="E50" s="410"/>
      <c r="F50" s="410"/>
      <c r="G50" s="780"/>
      <c r="H50" s="781"/>
      <c r="I50" s="410"/>
    </row>
    <row r="51" ht="18.0" customHeight="1">
      <c r="A51" s="410"/>
      <c r="B51" s="410"/>
      <c r="C51" s="410"/>
      <c r="D51" s="410"/>
      <c r="E51" s="410"/>
      <c r="F51" s="410"/>
      <c r="G51" s="780"/>
      <c r="H51" s="781"/>
      <c r="I51" s="410"/>
    </row>
    <row r="52" ht="18.0" customHeight="1">
      <c r="A52" s="410"/>
      <c r="B52" s="410"/>
      <c r="C52" s="410"/>
      <c r="D52" s="410"/>
      <c r="E52" s="410"/>
      <c r="F52" s="410"/>
      <c r="G52" s="780"/>
      <c r="H52" s="781"/>
      <c r="I52" s="410"/>
    </row>
    <row r="53" ht="18.0" customHeight="1">
      <c r="A53" s="410"/>
      <c r="B53" s="410"/>
      <c r="C53" s="410"/>
      <c r="D53" s="410"/>
      <c r="E53" s="410"/>
      <c r="F53" s="410"/>
      <c r="G53" s="780"/>
      <c r="H53" s="781"/>
      <c r="I53" s="410"/>
    </row>
    <row r="54" ht="18.0" customHeight="1">
      <c r="A54" s="410"/>
      <c r="B54" s="410"/>
      <c r="C54" s="410"/>
      <c r="D54" s="410"/>
      <c r="E54" s="410"/>
      <c r="F54" s="410"/>
      <c r="G54" s="780"/>
      <c r="H54" s="781"/>
      <c r="I54" s="410"/>
    </row>
    <row r="55" ht="18.0" customHeight="1">
      <c r="A55" s="410"/>
      <c r="B55" s="410"/>
      <c r="C55" s="410"/>
      <c r="D55" s="410"/>
      <c r="E55" s="410"/>
      <c r="F55" s="410"/>
      <c r="G55" s="780"/>
      <c r="H55" s="781"/>
      <c r="I55" s="410"/>
    </row>
    <row r="56" ht="18.0" customHeight="1">
      <c r="A56" s="410"/>
      <c r="B56" s="410"/>
      <c r="C56" s="410"/>
      <c r="D56" s="410"/>
      <c r="E56" s="410"/>
      <c r="F56" s="410"/>
      <c r="G56" s="780"/>
      <c r="H56" s="781"/>
      <c r="I56" s="410"/>
    </row>
    <row r="57" ht="18.0" customHeight="1">
      <c r="A57" s="410"/>
      <c r="B57" s="410"/>
      <c r="C57" s="410"/>
      <c r="D57" s="410"/>
      <c r="E57" s="410"/>
      <c r="F57" s="410"/>
      <c r="G57" s="780"/>
      <c r="H57" s="781"/>
      <c r="I57" s="410"/>
    </row>
    <row r="58" ht="18.0" customHeight="1">
      <c r="A58" s="410"/>
      <c r="B58" s="410"/>
      <c r="C58" s="410"/>
      <c r="D58" s="410"/>
      <c r="E58" s="410"/>
      <c r="F58" s="410"/>
      <c r="G58" s="780"/>
      <c r="H58" s="781"/>
      <c r="I58" s="410"/>
    </row>
    <row r="59" ht="18.0" customHeight="1">
      <c r="A59" s="410"/>
      <c r="B59" s="410"/>
      <c r="C59" s="410"/>
      <c r="D59" s="410"/>
      <c r="E59" s="410"/>
      <c r="F59" s="410"/>
      <c r="G59" s="780"/>
      <c r="H59" s="781"/>
      <c r="I59" s="410"/>
    </row>
    <row r="60" ht="18.0" customHeight="1">
      <c r="A60" s="410"/>
      <c r="B60" s="410"/>
      <c r="C60" s="410"/>
      <c r="D60" s="410"/>
      <c r="E60" s="410"/>
      <c r="F60" s="410"/>
      <c r="G60" s="780"/>
      <c r="H60" s="781"/>
      <c r="I60" s="410"/>
    </row>
    <row r="61" ht="18.0" customHeight="1">
      <c r="A61" s="410"/>
      <c r="B61" s="410"/>
      <c r="C61" s="410"/>
      <c r="D61" s="410"/>
      <c r="E61" s="410"/>
      <c r="F61" s="410"/>
      <c r="G61" s="780"/>
      <c r="H61" s="781"/>
      <c r="I61" s="410"/>
    </row>
    <row r="62" ht="18.0" customHeight="1">
      <c r="A62" s="410"/>
      <c r="B62" s="410"/>
      <c r="C62" s="410"/>
      <c r="D62" s="410"/>
      <c r="E62" s="410"/>
      <c r="F62" s="410"/>
      <c r="G62" s="780"/>
      <c r="H62" s="781"/>
      <c r="I62" s="410"/>
    </row>
    <row r="63" ht="18.0" customHeight="1">
      <c r="A63" s="410"/>
      <c r="B63" s="410"/>
      <c r="C63" s="410"/>
      <c r="D63" s="410"/>
      <c r="E63" s="410"/>
      <c r="F63" s="410"/>
      <c r="G63" s="780"/>
      <c r="H63" s="781"/>
      <c r="I63" s="410"/>
    </row>
    <row r="64" ht="18.0" customHeight="1">
      <c r="A64" s="410"/>
      <c r="B64" s="410"/>
      <c r="C64" s="410"/>
      <c r="D64" s="410"/>
      <c r="E64" s="410"/>
      <c r="F64" s="410"/>
      <c r="G64" s="780"/>
      <c r="H64" s="781"/>
      <c r="I64" s="410"/>
    </row>
    <row r="65" ht="18.0" customHeight="1">
      <c r="A65" s="410"/>
      <c r="B65" s="410"/>
      <c r="C65" s="410"/>
      <c r="D65" s="410"/>
      <c r="E65" s="410"/>
      <c r="F65" s="410"/>
      <c r="G65" s="780"/>
      <c r="H65" s="781"/>
      <c r="I65" s="410"/>
    </row>
    <row r="66" ht="18.0" customHeight="1">
      <c r="A66" s="410"/>
      <c r="B66" s="410"/>
      <c r="C66" s="410"/>
      <c r="D66" s="410"/>
      <c r="E66" s="410"/>
      <c r="F66" s="410"/>
      <c r="G66" s="780"/>
      <c r="H66" s="781"/>
      <c r="I66" s="410"/>
    </row>
    <row r="67" ht="18.0" customHeight="1">
      <c r="A67" s="410"/>
      <c r="B67" s="410"/>
      <c r="C67" s="410"/>
      <c r="D67" s="410"/>
      <c r="E67" s="410"/>
      <c r="F67" s="410"/>
      <c r="G67" s="780"/>
      <c r="H67" s="781"/>
      <c r="I67" s="410"/>
    </row>
    <row r="68" ht="18.0" customHeight="1">
      <c r="A68" s="410"/>
      <c r="B68" s="410"/>
      <c r="C68" s="410"/>
      <c r="D68" s="410"/>
      <c r="E68" s="410"/>
      <c r="F68" s="410"/>
      <c r="G68" s="780"/>
      <c r="H68" s="781"/>
      <c r="I68" s="410"/>
    </row>
    <row r="69" ht="18.0" customHeight="1">
      <c r="A69" s="410"/>
      <c r="B69" s="410"/>
      <c r="C69" s="410"/>
      <c r="D69" s="410"/>
      <c r="E69" s="410"/>
      <c r="F69" s="410"/>
      <c r="G69" s="780"/>
      <c r="H69" s="781"/>
      <c r="I69" s="410"/>
    </row>
    <row r="70" ht="18.0" customHeight="1">
      <c r="A70" s="410"/>
      <c r="B70" s="410"/>
      <c r="C70" s="410"/>
      <c r="D70" s="410"/>
      <c r="E70" s="410"/>
      <c r="F70" s="410"/>
      <c r="G70" s="780"/>
      <c r="H70" s="781"/>
      <c r="I70" s="410"/>
    </row>
    <row r="71" ht="18.0" customHeight="1">
      <c r="A71" s="410"/>
      <c r="B71" s="410"/>
      <c r="C71" s="410"/>
      <c r="D71" s="410"/>
      <c r="E71" s="410"/>
      <c r="F71" s="410"/>
      <c r="G71" s="780"/>
      <c r="H71" s="781"/>
      <c r="I71" s="410"/>
    </row>
    <row r="72" ht="18.0" customHeight="1">
      <c r="A72" s="410"/>
      <c r="B72" s="410"/>
      <c r="C72" s="410"/>
      <c r="D72" s="410"/>
      <c r="E72" s="410"/>
      <c r="F72" s="410"/>
      <c r="G72" s="780"/>
      <c r="H72" s="781"/>
      <c r="I72" s="410"/>
    </row>
    <row r="73" ht="18.0" customHeight="1">
      <c r="A73" s="410"/>
      <c r="B73" s="410"/>
      <c r="C73" s="410"/>
      <c r="D73" s="410"/>
      <c r="E73" s="410"/>
      <c r="F73" s="410"/>
      <c r="G73" s="780"/>
      <c r="H73" s="781"/>
      <c r="I73" s="410"/>
    </row>
    <row r="74" ht="18.0" customHeight="1">
      <c r="A74" s="410"/>
      <c r="B74" s="410"/>
      <c r="C74" s="410"/>
      <c r="D74" s="410"/>
      <c r="E74" s="410"/>
      <c r="F74" s="410"/>
      <c r="G74" s="780"/>
      <c r="H74" s="781"/>
      <c r="I74" s="410"/>
    </row>
    <row r="75" ht="18.0" customHeight="1">
      <c r="A75" s="410"/>
      <c r="B75" s="410"/>
      <c r="C75" s="410"/>
      <c r="D75" s="410"/>
      <c r="E75" s="410"/>
      <c r="F75" s="410"/>
      <c r="G75" s="780"/>
      <c r="H75" s="781"/>
      <c r="I75" s="410"/>
    </row>
    <row r="76" ht="18.0" customHeight="1">
      <c r="A76" s="410"/>
      <c r="B76" s="410"/>
      <c r="C76" s="410"/>
      <c r="D76" s="410"/>
      <c r="E76" s="410"/>
      <c r="F76" s="410"/>
      <c r="G76" s="780"/>
      <c r="H76" s="781"/>
      <c r="I76" s="410"/>
    </row>
    <row r="77" ht="18.0" customHeight="1">
      <c r="A77" s="410"/>
      <c r="B77" s="410"/>
      <c r="C77" s="410"/>
      <c r="D77" s="410"/>
      <c r="E77" s="410"/>
      <c r="F77" s="410"/>
      <c r="G77" s="780"/>
      <c r="H77" s="781"/>
      <c r="I77" s="410"/>
    </row>
    <row r="78" ht="18.0" customHeight="1">
      <c r="A78" s="410"/>
      <c r="B78" s="410"/>
      <c r="C78" s="410"/>
      <c r="D78" s="410"/>
      <c r="E78" s="410"/>
      <c r="F78" s="410"/>
      <c r="G78" s="780"/>
      <c r="H78" s="781"/>
      <c r="I78" s="410"/>
    </row>
    <row r="79" ht="18.0" customHeight="1">
      <c r="A79" s="410"/>
      <c r="B79" s="410"/>
      <c r="C79" s="410"/>
      <c r="D79" s="410"/>
      <c r="E79" s="410"/>
      <c r="F79" s="410"/>
      <c r="G79" s="780"/>
      <c r="H79" s="781"/>
      <c r="I79" s="410"/>
    </row>
    <row r="80" ht="18.0" customHeight="1">
      <c r="A80" s="410"/>
      <c r="B80" s="410"/>
      <c r="C80" s="410"/>
      <c r="D80" s="410"/>
      <c r="E80" s="410"/>
      <c r="F80" s="410"/>
      <c r="G80" s="780"/>
      <c r="H80" s="781"/>
      <c r="I80" s="410"/>
    </row>
    <row r="81" ht="18.0" customHeight="1">
      <c r="A81" s="410"/>
      <c r="B81" s="410"/>
      <c r="C81" s="410"/>
      <c r="D81" s="410"/>
      <c r="E81" s="410"/>
      <c r="F81" s="410"/>
      <c r="G81" s="780"/>
      <c r="H81" s="781"/>
      <c r="I81" s="410"/>
    </row>
    <row r="82" ht="18.0" customHeight="1">
      <c r="A82" s="410"/>
      <c r="B82" s="410"/>
      <c r="C82" s="410"/>
      <c r="D82" s="410"/>
      <c r="E82" s="410"/>
      <c r="F82" s="410"/>
      <c r="G82" s="780"/>
      <c r="H82" s="781"/>
      <c r="I82" s="410"/>
    </row>
    <row r="83" ht="18.0" customHeight="1">
      <c r="A83" s="410"/>
      <c r="B83" s="410"/>
      <c r="C83" s="410"/>
      <c r="D83" s="410"/>
      <c r="E83" s="410"/>
      <c r="F83" s="410"/>
      <c r="G83" s="780"/>
      <c r="H83" s="781"/>
      <c r="I83" s="410"/>
    </row>
    <row r="84" ht="18.0" customHeight="1">
      <c r="A84" s="410"/>
      <c r="B84" s="410"/>
      <c r="C84" s="410"/>
      <c r="D84" s="410"/>
      <c r="E84" s="410"/>
      <c r="F84" s="410"/>
      <c r="G84" s="780"/>
      <c r="H84" s="781"/>
      <c r="I84" s="410"/>
    </row>
    <row r="85" ht="18.0" customHeight="1">
      <c r="A85" s="410"/>
      <c r="B85" s="410"/>
      <c r="C85" s="410"/>
      <c r="D85" s="410"/>
      <c r="E85" s="410"/>
      <c r="F85" s="410"/>
      <c r="G85" s="780"/>
      <c r="H85" s="781"/>
      <c r="I85" s="410"/>
    </row>
    <row r="86" ht="18.0" customHeight="1">
      <c r="A86" s="410"/>
      <c r="B86" s="410"/>
      <c r="C86" s="410"/>
      <c r="D86" s="410"/>
      <c r="E86" s="410"/>
      <c r="F86" s="410"/>
      <c r="G86" s="780"/>
      <c r="H86" s="781"/>
      <c r="I86" s="410"/>
    </row>
    <row r="87" ht="18.0" customHeight="1">
      <c r="A87" s="410"/>
      <c r="B87" s="410"/>
      <c r="C87" s="410"/>
      <c r="D87" s="410"/>
      <c r="E87" s="410"/>
      <c r="F87" s="410"/>
      <c r="G87" s="780"/>
      <c r="H87" s="781"/>
      <c r="I87" s="410"/>
    </row>
    <row r="88" ht="18.0" customHeight="1">
      <c r="A88" s="410"/>
      <c r="B88" s="410"/>
      <c r="C88" s="410"/>
      <c r="D88" s="410"/>
      <c r="E88" s="410"/>
      <c r="F88" s="410"/>
      <c r="G88" s="780"/>
      <c r="H88" s="781"/>
      <c r="I88" s="410"/>
    </row>
    <row r="89" ht="18.0" customHeight="1">
      <c r="A89" s="410"/>
      <c r="B89" s="410"/>
      <c r="C89" s="410"/>
      <c r="D89" s="410"/>
      <c r="E89" s="410"/>
      <c r="F89" s="410"/>
      <c r="G89" s="780"/>
      <c r="H89" s="781"/>
      <c r="I89" s="410"/>
    </row>
    <row r="90" ht="18.0" customHeight="1">
      <c r="A90" s="410"/>
      <c r="B90" s="410"/>
      <c r="C90" s="410"/>
      <c r="D90" s="410"/>
      <c r="E90" s="410"/>
      <c r="F90" s="410"/>
      <c r="G90" s="780"/>
      <c r="H90" s="781"/>
      <c r="I90" s="410"/>
    </row>
    <row r="91" ht="18.0" customHeight="1">
      <c r="A91" s="410"/>
      <c r="B91" s="410"/>
      <c r="C91" s="410"/>
      <c r="D91" s="410"/>
      <c r="E91" s="410"/>
      <c r="F91" s="410"/>
      <c r="G91" s="780"/>
      <c r="H91" s="781"/>
      <c r="I91" s="410"/>
    </row>
    <row r="92" ht="18.0" customHeight="1">
      <c r="A92" s="410"/>
      <c r="B92" s="410"/>
      <c r="C92" s="410"/>
      <c r="D92" s="410"/>
      <c r="E92" s="410"/>
      <c r="F92" s="410"/>
      <c r="G92" s="780"/>
      <c r="H92" s="781"/>
      <c r="I92" s="410"/>
    </row>
    <row r="93" ht="18.0" customHeight="1">
      <c r="A93" s="410"/>
      <c r="B93" s="410"/>
      <c r="C93" s="410"/>
      <c r="D93" s="410"/>
      <c r="E93" s="410"/>
      <c r="F93" s="410"/>
      <c r="G93" s="780"/>
      <c r="H93" s="781"/>
      <c r="I93" s="410"/>
    </row>
    <row r="94" ht="18.0" customHeight="1">
      <c r="A94" s="410"/>
      <c r="B94" s="410"/>
      <c r="C94" s="410"/>
      <c r="D94" s="410"/>
      <c r="E94" s="410"/>
      <c r="F94" s="410"/>
      <c r="G94" s="780"/>
      <c r="H94" s="781"/>
      <c r="I94" s="410"/>
    </row>
    <row r="95" ht="18.0" customHeight="1">
      <c r="A95" s="410"/>
      <c r="B95" s="410"/>
      <c r="C95" s="410"/>
      <c r="D95" s="410"/>
      <c r="E95" s="410"/>
      <c r="F95" s="410"/>
      <c r="G95" s="780"/>
      <c r="H95" s="781"/>
      <c r="I95" s="410"/>
    </row>
    <row r="96" ht="18.0" customHeight="1">
      <c r="A96" s="410"/>
      <c r="B96" s="410"/>
      <c r="C96" s="410"/>
      <c r="D96" s="410"/>
      <c r="E96" s="410"/>
      <c r="F96" s="410"/>
      <c r="G96" s="780"/>
      <c r="H96" s="781"/>
      <c r="I96" s="410"/>
    </row>
    <row r="97" ht="18.0" customHeight="1">
      <c r="A97" s="410"/>
      <c r="B97" s="410"/>
      <c r="C97" s="410"/>
      <c r="D97" s="410"/>
      <c r="E97" s="410"/>
      <c r="F97" s="410"/>
      <c r="G97" s="780"/>
      <c r="H97" s="781"/>
      <c r="I97" s="410"/>
    </row>
    <row r="98" ht="18.0" customHeight="1">
      <c r="A98" s="410"/>
      <c r="B98" s="410"/>
      <c r="C98" s="410"/>
      <c r="D98" s="410"/>
      <c r="E98" s="410"/>
      <c r="F98" s="410"/>
      <c r="G98" s="780"/>
      <c r="H98" s="781"/>
      <c r="I98" s="410"/>
    </row>
    <row r="99" ht="18.0" customHeight="1">
      <c r="A99" s="410"/>
      <c r="B99" s="410"/>
      <c r="C99" s="410"/>
      <c r="D99" s="410"/>
      <c r="E99" s="410"/>
      <c r="F99" s="410"/>
      <c r="G99" s="780"/>
      <c r="H99" s="781"/>
      <c r="I99" s="410"/>
    </row>
    <row r="100" ht="18.0" customHeight="1">
      <c r="A100" s="410"/>
      <c r="B100" s="410"/>
      <c r="C100" s="410"/>
      <c r="D100" s="410"/>
      <c r="E100" s="410"/>
      <c r="F100" s="410"/>
      <c r="G100" s="780"/>
      <c r="H100" s="781"/>
      <c r="I100" s="410"/>
    </row>
    <row r="101" ht="18.0" customHeight="1">
      <c r="A101" s="410"/>
      <c r="B101" s="410"/>
      <c r="C101" s="410"/>
      <c r="D101" s="410"/>
      <c r="E101" s="410"/>
      <c r="F101" s="410"/>
      <c r="G101" s="780"/>
      <c r="H101" s="781"/>
      <c r="I101" s="410"/>
    </row>
    <row r="102" ht="18.0" customHeight="1">
      <c r="A102" s="410"/>
      <c r="B102" s="410"/>
      <c r="C102" s="410"/>
      <c r="D102" s="410"/>
      <c r="E102" s="410"/>
      <c r="F102" s="410"/>
      <c r="G102" s="780"/>
      <c r="H102" s="781"/>
      <c r="I102" s="410"/>
    </row>
    <row r="103" ht="18.0" customHeight="1">
      <c r="A103" s="410"/>
      <c r="B103" s="410"/>
      <c r="C103" s="410"/>
      <c r="D103" s="410"/>
      <c r="E103" s="410"/>
      <c r="F103" s="410"/>
      <c r="G103" s="780"/>
      <c r="H103" s="781"/>
      <c r="I103" s="410"/>
    </row>
    <row r="104" ht="18.0" customHeight="1">
      <c r="A104" s="410"/>
      <c r="B104" s="410"/>
      <c r="C104" s="410"/>
      <c r="D104" s="410"/>
      <c r="E104" s="410"/>
      <c r="F104" s="410"/>
      <c r="G104" s="780"/>
      <c r="H104" s="781"/>
      <c r="I104" s="410"/>
    </row>
    <row r="105" ht="18.0" customHeight="1">
      <c r="A105" s="410"/>
      <c r="B105" s="410"/>
      <c r="C105" s="410"/>
      <c r="D105" s="410"/>
      <c r="E105" s="410"/>
      <c r="F105" s="410"/>
      <c r="G105" s="780"/>
      <c r="H105" s="781"/>
      <c r="I105" s="410"/>
    </row>
    <row r="106" ht="18.0" customHeight="1">
      <c r="A106" s="410"/>
      <c r="B106" s="410"/>
      <c r="C106" s="410"/>
      <c r="D106" s="410"/>
      <c r="E106" s="410"/>
      <c r="F106" s="410"/>
      <c r="G106" s="780"/>
      <c r="H106" s="781"/>
      <c r="I106" s="410"/>
    </row>
    <row r="107" ht="18.0" customHeight="1">
      <c r="A107" s="410"/>
      <c r="B107" s="410"/>
      <c r="C107" s="410"/>
      <c r="D107" s="410"/>
      <c r="E107" s="410"/>
      <c r="F107" s="410"/>
      <c r="G107" s="780"/>
      <c r="H107" s="781"/>
      <c r="I107" s="410"/>
    </row>
    <row r="108" ht="18.0" customHeight="1">
      <c r="A108" s="410"/>
      <c r="B108" s="410"/>
      <c r="C108" s="410"/>
      <c r="D108" s="410"/>
      <c r="E108" s="410"/>
      <c r="F108" s="410"/>
      <c r="G108" s="780"/>
      <c r="H108" s="781"/>
      <c r="I108" s="410"/>
    </row>
    <row r="109" ht="18.0" customHeight="1">
      <c r="A109" s="410"/>
      <c r="B109" s="410"/>
      <c r="C109" s="410"/>
      <c r="D109" s="410"/>
      <c r="E109" s="410"/>
      <c r="F109" s="410"/>
      <c r="G109" s="780"/>
      <c r="H109" s="781"/>
      <c r="I109" s="410"/>
    </row>
    <row r="110" ht="18.0" customHeight="1">
      <c r="A110" s="410"/>
      <c r="B110" s="410"/>
      <c r="C110" s="410"/>
      <c r="D110" s="410"/>
      <c r="E110" s="410"/>
      <c r="F110" s="410"/>
      <c r="G110" s="780"/>
      <c r="H110" s="781"/>
      <c r="I110" s="410"/>
    </row>
    <row r="111" ht="18.0" customHeight="1">
      <c r="A111" s="410"/>
      <c r="B111" s="410"/>
      <c r="C111" s="410"/>
      <c r="D111" s="410"/>
      <c r="E111" s="410"/>
      <c r="F111" s="410"/>
      <c r="G111" s="780"/>
      <c r="H111" s="781"/>
      <c r="I111" s="410"/>
    </row>
    <row r="112" ht="18.0" customHeight="1">
      <c r="A112" s="410"/>
      <c r="B112" s="410"/>
      <c r="C112" s="410"/>
      <c r="D112" s="410"/>
      <c r="E112" s="410"/>
      <c r="F112" s="410"/>
      <c r="G112" s="780"/>
      <c r="H112" s="781"/>
      <c r="I112" s="410"/>
    </row>
    <row r="113" ht="18.0" customHeight="1">
      <c r="A113" s="410"/>
      <c r="B113" s="410"/>
      <c r="C113" s="410"/>
      <c r="D113" s="410"/>
      <c r="E113" s="410"/>
      <c r="F113" s="410"/>
      <c r="G113" s="780"/>
      <c r="H113" s="781"/>
      <c r="I113" s="410"/>
    </row>
    <row r="114" ht="18.0" customHeight="1">
      <c r="A114" s="410"/>
      <c r="B114" s="410"/>
      <c r="C114" s="410"/>
      <c r="D114" s="410"/>
      <c r="E114" s="410"/>
      <c r="F114" s="410"/>
      <c r="G114" s="780"/>
      <c r="H114" s="781"/>
      <c r="I114" s="410"/>
    </row>
    <row r="115" ht="18.0" customHeight="1">
      <c r="A115" s="410"/>
      <c r="B115" s="410"/>
      <c r="C115" s="410"/>
      <c r="D115" s="410"/>
      <c r="E115" s="410"/>
      <c r="F115" s="410"/>
      <c r="G115" s="780"/>
      <c r="H115" s="781"/>
      <c r="I115" s="410"/>
    </row>
    <row r="116" ht="18.0" customHeight="1">
      <c r="A116" s="410"/>
      <c r="B116" s="410"/>
      <c r="C116" s="410"/>
      <c r="D116" s="410"/>
      <c r="E116" s="410"/>
      <c r="F116" s="410"/>
      <c r="G116" s="780"/>
      <c r="H116" s="781"/>
      <c r="I116" s="410"/>
    </row>
    <row r="117" ht="18.0" customHeight="1">
      <c r="A117" s="410"/>
      <c r="B117" s="410"/>
      <c r="C117" s="410"/>
      <c r="D117" s="410"/>
      <c r="E117" s="410"/>
      <c r="F117" s="410"/>
      <c r="G117" s="780"/>
      <c r="H117" s="781"/>
      <c r="I117" s="410"/>
    </row>
    <row r="118" ht="18.0" customHeight="1">
      <c r="A118" s="410"/>
      <c r="B118" s="410"/>
      <c r="C118" s="410"/>
      <c r="D118" s="410"/>
      <c r="E118" s="410"/>
      <c r="F118" s="410"/>
      <c r="G118" s="780"/>
      <c r="H118" s="781"/>
      <c r="I118" s="410"/>
    </row>
    <row r="119" ht="18.0" customHeight="1">
      <c r="A119" s="410"/>
      <c r="B119" s="410"/>
      <c r="C119" s="410"/>
      <c r="D119" s="410"/>
      <c r="E119" s="410"/>
      <c r="F119" s="410"/>
      <c r="G119" s="780"/>
      <c r="H119" s="781"/>
      <c r="I119" s="410"/>
    </row>
    <row r="120" ht="18.0" customHeight="1">
      <c r="A120" s="410"/>
      <c r="B120" s="410"/>
      <c r="C120" s="410"/>
      <c r="D120" s="410"/>
      <c r="E120" s="410"/>
      <c r="F120" s="410"/>
      <c r="G120" s="780"/>
      <c r="H120" s="781"/>
      <c r="I120" s="410"/>
    </row>
    <row r="121" ht="18.0" customHeight="1">
      <c r="A121" s="410"/>
      <c r="B121" s="410"/>
      <c r="C121" s="410"/>
      <c r="D121" s="410"/>
      <c r="E121" s="410"/>
      <c r="F121" s="410"/>
      <c r="G121" s="780"/>
      <c r="H121" s="781"/>
      <c r="I121" s="410"/>
    </row>
    <row r="122" ht="18.0" customHeight="1">
      <c r="A122" s="410"/>
      <c r="B122" s="410"/>
      <c r="C122" s="410"/>
      <c r="D122" s="410"/>
      <c r="E122" s="410"/>
      <c r="F122" s="410"/>
      <c r="G122" s="780"/>
      <c r="H122" s="781"/>
      <c r="I122" s="410"/>
    </row>
    <row r="123" ht="18.0" customHeight="1">
      <c r="A123" s="410"/>
      <c r="B123" s="410"/>
      <c r="C123" s="410"/>
      <c r="D123" s="410"/>
      <c r="E123" s="410"/>
      <c r="F123" s="410"/>
      <c r="G123" s="780"/>
      <c r="H123" s="781"/>
      <c r="I123" s="410"/>
    </row>
    <row r="124" ht="18.0" customHeight="1">
      <c r="A124" s="410"/>
      <c r="B124" s="410"/>
      <c r="C124" s="410"/>
      <c r="D124" s="410"/>
      <c r="E124" s="410"/>
      <c r="F124" s="410"/>
      <c r="G124" s="780"/>
      <c r="H124" s="781"/>
      <c r="I124" s="410"/>
    </row>
    <row r="125" ht="18.0" customHeight="1">
      <c r="A125" s="410"/>
      <c r="B125" s="410"/>
      <c r="C125" s="410"/>
      <c r="D125" s="410"/>
      <c r="E125" s="410"/>
      <c r="F125" s="410"/>
      <c r="G125" s="780"/>
      <c r="H125" s="781"/>
      <c r="I125" s="410"/>
    </row>
    <row r="126" ht="18.0" customHeight="1">
      <c r="A126" s="410"/>
      <c r="B126" s="410"/>
      <c r="C126" s="410"/>
      <c r="D126" s="410"/>
      <c r="E126" s="410"/>
      <c r="F126" s="410"/>
      <c r="G126" s="780"/>
      <c r="H126" s="781"/>
      <c r="I126" s="410"/>
    </row>
    <row r="127" ht="18.0" customHeight="1">
      <c r="A127" s="410"/>
      <c r="B127" s="410"/>
      <c r="C127" s="410"/>
      <c r="D127" s="410"/>
      <c r="E127" s="410"/>
      <c r="F127" s="410"/>
      <c r="G127" s="780"/>
      <c r="H127" s="781"/>
      <c r="I127" s="410"/>
    </row>
    <row r="128" ht="18.0" customHeight="1">
      <c r="A128" s="410"/>
      <c r="B128" s="410"/>
      <c r="C128" s="410"/>
      <c r="D128" s="410"/>
      <c r="E128" s="410"/>
      <c r="F128" s="410"/>
      <c r="G128" s="780"/>
      <c r="H128" s="781"/>
      <c r="I128" s="410"/>
    </row>
    <row r="129" ht="18.0" customHeight="1">
      <c r="A129" s="410"/>
      <c r="B129" s="410"/>
      <c r="C129" s="410"/>
      <c r="D129" s="410"/>
      <c r="E129" s="410"/>
      <c r="F129" s="410"/>
      <c r="G129" s="780"/>
      <c r="H129" s="781"/>
      <c r="I129" s="410"/>
    </row>
    <row r="130" ht="18.0" customHeight="1">
      <c r="A130" s="410"/>
      <c r="B130" s="410"/>
      <c r="C130" s="410"/>
      <c r="D130" s="410"/>
      <c r="E130" s="410"/>
      <c r="F130" s="410"/>
      <c r="G130" s="780"/>
      <c r="H130" s="781"/>
      <c r="I130" s="410"/>
    </row>
    <row r="131" ht="18.0" customHeight="1">
      <c r="A131" s="410"/>
      <c r="B131" s="410"/>
      <c r="C131" s="410"/>
      <c r="D131" s="410"/>
      <c r="E131" s="410"/>
      <c r="F131" s="410"/>
      <c r="G131" s="780"/>
      <c r="H131" s="781"/>
      <c r="I131" s="410"/>
    </row>
    <row r="132" ht="18.0" customHeight="1">
      <c r="A132" s="410"/>
      <c r="B132" s="410"/>
      <c r="C132" s="410"/>
      <c r="D132" s="410"/>
      <c r="E132" s="410"/>
      <c r="F132" s="410"/>
      <c r="G132" s="780"/>
      <c r="H132" s="781"/>
      <c r="I132" s="410"/>
    </row>
    <row r="133" ht="18.0" customHeight="1">
      <c r="A133" s="410"/>
      <c r="B133" s="410"/>
      <c r="C133" s="410"/>
      <c r="D133" s="410"/>
      <c r="E133" s="410"/>
      <c r="F133" s="410"/>
      <c r="G133" s="780"/>
      <c r="H133" s="781"/>
      <c r="I133" s="410"/>
    </row>
    <row r="134" ht="18.0" customHeight="1">
      <c r="A134" s="410"/>
      <c r="B134" s="410"/>
      <c r="C134" s="410"/>
      <c r="D134" s="410"/>
      <c r="E134" s="410"/>
      <c r="F134" s="410"/>
      <c r="G134" s="780"/>
      <c r="H134" s="781"/>
      <c r="I134" s="410"/>
    </row>
    <row r="135" ht="18.0" customHeight="1">
      <c r="A135" s="410"/>
      <c r="B135" s="410"/>
      <c r="C135" s="410"/>
      <c r="D135" s="410"/>
      <c r="E135" s="410"/>
      <c r="F135" s="410"/>
      <c r="G135" s="780"/>
      <c r="H135" s="781"/>
      <c r="I135" s="410"/>
    </row>
    <row r="136" ht="18.0" customHeight="1">
      <c r="A136" s="410"/>
      <c r="B136" s="410"/>
      <c r="C136" s="410"/>
      <c r="D136" s="410"/>
      <c r="E136" s="410"/>
      <c r="F136" s="410"/>
      <c r="G136" s="780"/>
      <c r="H136" s="781"/>
      <c r="I136" s="410"/>
    </row>
    <row r="137" ht="18.0" customHeight="1">
      <c r="A137" s="410"/>
      <c r="B137" s="410"/>
      <c r="C137" s="410"/>
      <c r="D137" s="410"/>
      <c r="E137" s="410"/>
      <c r="F137" s="410"/>
      <c r="G137" s="780"/>
      <c r="H137" s="781"/>
      <c r="I137" s="410"/>
    </row>
    <row r="138" ht="18.0" customHeight="1">
      <c r="A138" s="410"/>
      <c r="B138" s="410"/>
      <c r="C138" s="410"/>
      <c r="D138" s="410"/>
      <c r="E138" s="410"/>
      <c r="F138" s="410"/>
      <c r="G138" s="780"/>
      <c r="H138" s="781"/>
      <c r="I138" s="410"/>
    </row>
    <row r="139" ht="18.0" customHeight="1">
      <c r="A139" s="410"/>
      <c r="B139" s="410"/>
      <c r="C139" s="410"/>
      <c r="D139" s="410"/>
      <c r="E139" s="410"/>
      <c r="F139" s="410"/>
      <c r="G139" s="780"/>
      <c r="H139" s="781"/>
      <c r="I139" s="410"/>
    </row>
    <row r="140" ht="18.0" customHeight="1">
      <c r="A140" s="410"/>
      <c r="B140" s="410"/>
      <c r="C140" s="410"/>
      <c r="D140" s="410"/>
      <c r="E140" s="410"/>
      <c r="F140" s="410"/>
      <c r="G140" s="780"/>
      <c r="H140" s="781"/>
      <c r="I140" s="410"/>
    </row>
    <row r="141" ht="18.0" customHeight="1">
      <c r="A141" s="410"/>
      <c r="B141" s="410"/>
      <c r="C141" s="410"/>
      <c r="D141" s="410"/>
      <c r="E141" s="410"/>
      <c r="F141" s="410"/>
      <c r="G141" s="780"/>
      <c r="H141" s="781"/>
      <c r="I141" s="410"/>
    </row>
    <row r="142" ht="18.0" customHeight="1">
      <c r="A142" s="410"/>
      <c r="B142" s="410"/>
      <c r="C142" s="410"/>
      <c r="D142" s="410"/>
      <c r="E142" s="410"/>
      <c r="F142" s="410"/>
      <c r="G142" s="780"/>
      <c r="H142" s="781"/>
      <c r="I142" s="410"/>
    </row>
    <row r="143" ht="18.0" customHeight="1">
      <c r="A143" s="410"/>
      <c r="B143" s="410"/>
      <c r="C143" s="410"/>
      <c r="D143" s="410"/>
      <c r="E143" s="410"/>
      <c r="F143" s="410"/>
      <c r="G143" s="780"/>
      <c r="H143" s="781"/>
      <c r="I143" s="410"/>
    </row>
    <row r="144" ht="18.0" customHeight="1">
      <c r="A144" s="410"/>
      <c r="B144" s="410"/>
      <c r="C144" s="410"/>
      <c r="D144" s="410"/>
      <c r="E144" s="410"/>
      <c r="F144" s="410"/>
      <c r="G144" s="780"/>
      <c r="H144" s="781"/>
      <c r="I144" s="410"/>
    </row>
    <row r="145" ht="18.0" customHeight="1">
      <c r="A145" s="410"/>
      <c r="B145" s="410"/>
      <c r="C145" s="410"/>
      <c r="D145" s="410"/>
      <c r="E145" s="410"/>
      <c r="F145" s="410"/>
      <c r="G145" s="780"/>
      <c r="H145" s="781"/>
      <c r="I145" s="410"/>
    </row>
    <row r="146" ht="18.0" customHeight="1">
      <c r="A146" s="410"/>
      <c r="B146" s="410"/>
      <c r="C146" s="410"/>
      <c r="D146" s="410"/>
      <c r="E146" s="410"/>
      <c r="F146" s="410"/>
      <c r="G146" s="780"/>
      <c r="H146" s="781"/>
      <c r="I146" s="410"/>
    </row>
    <row r="147" ht="18.0" customHeight="1">
      <c r="A147" s="410"/>
      <c r="B147" s="410"/>
      <c r="C147" s="410"/>
      <c r="D147" s="410"/>
      <c r="E147" s="410"/>
      <c r="F147" s="410"/>
      <c r="G147" s="780"/>
      <c r="H147" s="781"/>
      <c r="I147" s="410"/>
    </row>
    <row r="148" ht="18.0" customHeight="1">
      <c r="A148" s="410"/>
      <c r="B148" s="410"/>
      <c r="C148" s="410"/>
      <c r="D148" s="410"/>
      <c r="E148" s="410"/>
      <c r="F148" s="410"/>
      <c r="G148" s="780"/>
      <c r="H148" s="781"/>
      <c r="I148" s="410"/>
    </row>
    <row r="149" ht="18.0" customHeight="1">
      <c r="A149" s="410"/>
      <c r="B149" s="410"/>
      <c r="C149" s="410"/>
      <c r="D149" s="410"/>
      <c r="E149" s="410"/>
      <c r="F149" s="410"/>
      <c r="G149" s="780"/>
      <c r="H149" s="781"/>
      <c r="I149" s="410"/>
    </row>
    <row r="150" ht="18.0" customHeight="1">
      <c r="A150" s="410"/>
      <c r="B150" s="410"/>
      <c r="C150" s="410"/>
      <c r="D150" s="410"/>
      <c r="E150" s="410"/>
      <c r="F150" s="410"/>
      <c r="G150" s="780"/>
      <c r="H150" s="781"/>
      <c r="I150" s="410"/>
    </row>
    <row r="151" ht="18.0" customHeight="1">
      <c r="A151" s="410"/>
      <c r="B151" s="410"/>
      <c r="C151" s="410"/>
      <c r="D151" s="410"/>
      <c r="E151" s="410"/>
      <c r="F151" s="410"/>
      <c r="G151" s="780"/>
      <c r="H151" s="781"/>
      <c r="I151" s="410"/>
    </row>
    <row r="152" ht="18.0" customHeight="1">
      <c r="A152" s="410"/>
      <c r="B152" s="410"/>
      <c r="C152" s="410"/>
      <c r="D152" s="410"/>
      <c r="E152" s="410"/>
      <c r="F152" s="410"/>
      <c r="G152" s="780"/>
      <c r="H152" s="781"/>
      <c r="I152" s="410"/>
    </row>
    <row r="153" ht="18.0" customHeight="1">
      <c r="A153" s="410"/>
      <c r="B153" s="410"/>
      <c r="C153" s="410"/>
      <c r="D153" s="410"/>
      <c r="E153" s="410"/>
      <c r="F153" s="410"/>
      <c r="G153" s="780"/>
      <c r="H153" s="781"/>
      <c r="I153" s="410"/>
    </row>
    <row r="154" ht="18.0" customHeight="1">
      <c r="A154" s="410"/>
      <c r="B154" s="410"/>
      <c r="C154" s="410"/>
      <c r="D154" s="410"/>
      <c r="E154" s="410"/>
      <c r="F154" s="410"/>
      <c r="G154" s="780"/>
      <c r="H154" s="781"/>
      <c r="I154" s="410"/>
    </row>
    <row r="155" ht="18.0" customHeight="1">
      <c r="A155" s="410"/>
      <c r="B155" s="410"/>
      <c r="C155" s="410"/>
      <c r="D155" s="410"/>
      <c r="E155" s="410"/>
      <c r="F155" s="410"/>
      <c r="G155" s="780"/>
      <c r="H155" s="781"/>
      <c r="I155" s="410"/>
    </row>
    <row r="156" ht="18.0" customHeight="1">
      <c r="A156" s="410"/>
      <c r="B156" s="410"/>
      <c r="C156" s="410"/>
      <c r="D156" s="410"/>
      <c r="E156" s="410"/>
      <c r="F156" s="410"/>
      <c r="G156" s="780"/>
      <c r="H156" s="781"/>
      <c r="I156" s="410"/>
    </row>
    <row r="157" ht="18.0" customHeight="1">
      <c r="A157" s="410"/>
      <c r="B157" s="410"/>
      <c r="C157" s="410"/>
      <c r="D157" s="410"/>
      <c r="E157" s="410"/>
      <c r="F157" s="410"/>
      <c r="G157" s="780"/>
      <c r="H157" s="781"/>
      <c r="I157" s="410"/>
    </row>
    <row r="158" ht="18.0" customHeight="1">
      <c r="A158" s="410"/>
      <c r="B158" s="410"/>
      <c r="C158" s="410"/>
      <c r="D158" s="410"/>
      <c r="E158" s="410"/>
      <c r="F158" s="410"/>
      <c r="G158" s="780"/>
      <c r="H158" s="781"/>
      <c r="I158" s="410"/>
    </row>
    <row r="159" ht="18.0" customHeight="1">
      <c r="A159" s="410"/>
      <c r="B159" s="410"/>
      <c r="C159" s="410"/>
      <c r="D159" s="410"/>
      <c r="E159" s="410"/>
      <c r="F159" s="410"/>
      <c r="G159" s="780"/>
      <c r="H159" s="781"/>
      <c r="I159" s="410"/>
    </row>
    <row r="160" ht="18.0" customHeight="1">
      <c r="A160" s="410"/>
      <c r="B160" s="410"/>
      <c r="C160" s="410"/>
      <c r="D160" s="410"/>
      <c r="E160" s="410"/>
      <c r="F160" s="410"/>
      <c r="G160" s="780"/>
      <c r="H160" s="781"/>
      <c r="I160" s="410"/>
    </row>
    <row r="161" ht="18.0" customHeight="1">
      <c r="A161" s="410"/>
      <c r="B161" s="410"/>
      <c r="C161" s="410"/>
      <c r="D161" s="410"/>
      <c r="E161" s="410"/>
      <c r="F161" s="410"/>
      <c r="G161" s="780"/>
      <c r="H161" s="781"/>
      <c r="I161" s="410"/>
    </row>
    <row r="162" ht="18.0" customHeight="1">
      <c r="A162" s="410"/>
      <c r="B162" s="410"/>
      <c r="C162" s="410"/>
      <c r="D162" s="410"/>
      <c r="E162" s="410"/>
      <c r="F162" s="410"/>
      <c r="G162" s="780"/>
      <c r="H162" s="781"/>
      <c r="I162" s="410"/>
    </row>
    <row r="163" ht="18.0" customHeight="1">
      <c r="A163" s="410"/>
      <c r="B163" s="410"/>
      <c r="C163" s="410"/>
      <c r="D163" s="410"/>
      <c r="E163" s="410"/>
      <c r="F163" s="410"/>
      <c r="G163" s="780"/>
      <c r="H163" s="781"/>
      <c r="I163" s="410"/>
    </row>
    <row r="164" ht="18.0" customHeight="1">
      <c r="A164" s="410"/>
      <c r="B164" s="410"/>
      <c r="C164" s="410"/>
      <c r="D164" s="410"/>
      <c r="E164" s="410"/>
      <c r="F164" s="410"/>
      <c r="G164" s="780"/>
      <c r="H164" s="781"/>
      <c r="I164" s="410"/>
    </row>
    <row r="165" ht="18.0" customHeight="1">
      <c r="A165" s="410"/>
      <c r="B165" s="410"/>
      <c r="C165" s="410"/>
      <c r="D165" s="410"/>
      <c r="E165" s="410"/>
      <c r="F165" s="410"/>
      <c r="G165" s="780"/>
      <c r="H165" s="781"/>
      <c r="I165" s="410"/>
    </row>
    <row r="166" ht="18.0" customHeight="1">
      <c r="A166" s="410"/>
      <c r="B166" s="410"/>
      <c r="C166" s="410"/>
      <c r="D166" s="410"/>
      <c r="E166" s="410"/>
      <c r="F166" s="410"/>
      <c r="G166" s="780"/>
      <c r="H166" s="781"/>
      <c r="I166" s="410"/>
    </row>
    <row r="167" ht="18.0" customHeight="1">
      <c r="A167" s="410"/>
      <c r="B167" s="410"/>
      <c r="C167" s="410"/>
      <c r="D167" s="410"/>
      <c r="E167" s="410"/>
      <c r="F167" s="410"/>
      <c r="G167" s="780"/>
      <c r="H167" s="781"/>
      <c r="I167" s="410"/>
    </row>
    <row r="168" ht="18.0" customHeight="1">
      <c r="A168" s="410"/>
      <c r="B168" s="410"/>
      <c r="C168" s="410"/>
      <c r="D168" s="410"/>
      <c r="E168" s="410"/>
      <c r="F168" s="410"/>
      <c r="G168" s="780"/>
      <c r="H168" s="781"/>
      <c r="I168" s="410"/>
    </row>
    <row r="169" ht="18.0" customHeight="1">
      <c r="A169" s="410"/>
      <c r="B169" s="410"/>
      <c r="C169" s="410"/>
      <c r="D169" s="410"/>
      <c r="E169" s="410"/>
      <c r="F169" s="410"/>
      <c r="G169" s="780"/>
      <c r="H169" s="781"/>
      <c r="I169" s="410"/>
    </row>
    <row r="170" ht="18.0" customHeight="1">
      <c r="A170" s="410"/>
      <c r="B170" s="410"/>
      <c r="C170" s="410"/>
      <c r="D170" s="410"/>
      <c r="E170" s="410"/>
      <c r="F170" s="410"/>
      <c r="G170" s="780"/>
      <c r="H170" s="781"/>
      <c r="I170" s="410"/>
    </row>
    <row r="171" ht="18.0" customHeight="1">
      <c r="A171" s="410"/>
      <c r="B171" s="410"/>
      <c r="C171" s="410"/>
      <c r="D171" s="410"/>
      <c r="E171" s="410"/>
      <c r="F171" s="410"/>
      <c r="G171" s="780"/>
      <c r="H171" s="781"/>
      <c r="I171" s="410"/>
    </row>
    <row r="172" ht="18.0" customHeight="1">
      <c r="A172" s="410"/>
      <c r="B172" s="410"/>
      <c r="C172" s="410"/>
      <c r="D172" s="410"/>
      <c r="E172" s="410"/>
      <c r="F172" s="410"/>
      <c r="G172" s="780"/>
      <c r="H172" s="781"/>
      <c r="I172" s="410"/>
    </row>
    <row r="173" ht="18.0" customHeight="1">
      <c r="A173" s="410"/>
      <c r="B173" s="410"/>
      <c r="C173" s="410"/>
      <c r="D173" s="410"/>
      <c r="E173" s="410"/>
      <c r="F173" s="410"/>
      <c r="G173" s="780"/>
      <c r="H173" s="781"/>
      <c r="I173" s="410"/>
    </row>
    <row r="174" ht="18.0" customHeight="1">
      <c r="A174" s="410"/>
      <c r="B174" s="410"/>
      <c r="C174" s="410"/>
      <c r="D174" s="410"/>
      <c r="E174" s="410"/>
      <c r="F174" s="410"/>
      <c r="G174" s="780"/>
      <c r="H174" s="781"/>
      <c r="I174" s="410"/>
    </row>
    <row r="175" ht="18.0" customHeight="1">
      <c r="A175" s="410"/>
      <c r="B175" s="410"/>
      <c r="C175" s="410"/>
      <c r="D175" s="410"/>
      <c r="E175" s="410"/>
      <c r="F175" s="410"/>
      <c r="G175" s="780"/>
      <c r="H175" s="781"/>
      <c r="I175" s="410"/>
    </row>
    <row r="176" ht="18.0" customHeight="1">
      <c r="A176" s="410"/>
      <c r="B176" s="410"/>
      <c r="C176" s="410"/>
      <c r="D176" s="410"/>
      <c r="E176" s="410"/>
      <c r="F176" s="410"/>
      <c r="G176" s="780"/>
      <c r="H176" s="781"/>
      <c r="I176" s="410"/>
    </row>
    <row r="177" ht="18.0" customHeight="1">
      <c r="A177" s="410"/>
      <c r="B177" s="410"/>
      <c r="C177" s="410"/>
      <c r="D177" s="410"/>
      <c r="E177" s="410"/>
      <c r="F177" s="410"/>
      <c r="G177" s="780"/>
      <c r="H177" s="781"/>
      <c r="I177" s="410"/>
    </row>
    <row r="178" ht="18.0" customHeight="1">
      <c r="A178" s="410"/>
      <c r="B178" s="410"/>
      <c r="C178" s="410"/>
      <c r="D178" s="410"/>
      <c r="E178" s="410"/>
      <c r="F178" s="410"/>
      <c r="G178" s="780"/>
      <c r="H178" s="781"/>
      <c r="I178" s="410"/>
    </row>
    <row r="179" ht="18.0" customHeight="1">
      <c r="A179" s="410"/>
      <c r="B179" s="410"/>
      <c r="C179" s="410"/>
      <c r="D179" s="410"/>
      <c r="E179" s="410"/>
      <c r="F179" s="410"/>
      <c r="G179" s="780"/>
      <c r="H179" s="781"/>
      <c r="I179" s="410"/>
    </row>
    <row r="180" ht="18.0" customHeight="1">
      <c r="A180" s="410"/>
      <c r="B180" s="410"/>
      <c r="C180" s="410"/>
      <c r="D180" s="410"/>
      <c r="E180" s="410"/>
      <c r="F180" s="410"/>
      <c r="G180" s="780"/>
      <c r="H180" s="781"/>
      <c r="I180" s="410"/>
    </row>
    <row r="181" ht="18.0" customHeight="1">
      <c r="A181" s="410"/>
      <c r="B181" s="410"/>
      <c r="C181" s="410"/>
      <c r="D181" s="410"/>
      <c r="E181" s="410"/>
      <c r="F181" s="410"/>
      <c r="G181" s="780"/>
      <c r="H181" s="781"/>
      <c r="I181" s="410"/>
    </row>
    <row r="182" ht="18.0" customHeight="1">
      <c r="A182" s="410"/>
      <c r="B182" s="410"/>
      <c r="C182" s="410"/>
      <c r="D182" s="410"/>
      <c r="E182" s="410"/>
      <c r="F182" s="410"/>
      <c r="G182" s="780"/>
      <c r="H182" s="781"/>
      <c r="I182" s="410"/>
    </row>
    <row r="183" ht="18.0" customHeight="1">
      <c r="A183" s="410"/>
      <c r="B183" s="410"/>
      <c r="C183" s="410"/>
      <c r="D183" s="410"/>
      <c r="E183" s="410"/>
      <c r="F183" s="410"/>
      <c r="G183" s="780"/>
      <c r="H183" s="781"/>
      <c r="I183" s="410"/>
    </row>
    <row r="184" ht="18.0" customHeight="1">
      <c r="A184" s="410"/>
      <c r="B184" s="410"/>
      <c r="C184" s="410"/>
      <c r="D184" s="410"/>
      <c r="E184" s="410"/>
      <c r="F184" s="410"/>
      <c r="G184" s="780"/>
      <c r="H184" s="781"/>
      <c r="I184" s="410"/>
    </row>
    <row r="185" ht="18.0" customHeight="1">
      <c r="A185" s="410"/>
      <c r="B185" s="410"/>
      <c r="C185" s="410"/>
      <c r="D185" s="410"/>
      <c r="E185" s="410"/>
      <c r="F185" s="410"/>
      <c r="G185" s="780"/>
      <c r="H185" s="781"/>
      <c r="I185" s="410"/>
    </row>
    <row r="186" ht="18.0" customHeight="1">
      <c r="A186" s="410"/>
      <c r="B186" s="410"/>
      <c r="C186" s="410"/>
      <c r="D186" s="410"/>
      <c r="E186" s="410"/>
      <c r="F186" s="410"/>
      <c r="G186" s="780"/>
      <c r="H186" s="781"/>
      <c r="I186" s="410"/>
    </row>
    <row r="187" ht="18.0" customHeight="1">
      <c r="A187" s="410"/>
      <c r="B187" s="410"/>
      <c r="C187" s="410"/>
      <c r="D187" s="410"/>
      <c r="E187" s="410"/>
      <c r="F187" s="410"/>
      <c r="G187" s="780"/>
      <c r="H187" s="781"/>
      <c r="I187" s="410"/>
    </row>
    <row r="188" ht="18.0" customHeight="1">
      <c r="A188" s="410"/>
      <c r="B188" s="410"/>
      <c r="C188" s="410"/>
      <c r="D188" s="410"/>
      <c r="E188" s="410"/>
      <c r="F188" s="410"/>
      <c r="G188" s="780"/>
      <c r="H188" s="781"/>
      <c r="I188" s="410"/>
    </row>
    <row r="189" ht="18.0" customHeight="1">
      <c r="A189" s="410"/>
      <c r="B189" s="410"/>
      <c r="C189" s="410"/>
      <c r="D189" s="410"/>
      <c r="E189" s="410"/>
      <c r="F189" s="410"/>
      <c r="G189" s="780"/>
      <c r="H189" s="781"/>
      <c r="I189" s="410"/>
    </row>
    <row r="190" ht="18.0" customHeight="1">
      <c r="A190" s="410"/>
      <c r="B190" s="410"/>
      <c r="C190" s="410"/>
      <c r="D190" s="410"/>
      <c r="E190" s="410"/>
      <c r="F190" s="410"/>
      <c r="G190" s="780"/>
      <c r="H190" s="781"/>
      <c r="I190" s="410"/>
    </row>
    <row r="191" ht="18.0" customHeight="1">
      <c r="A191" s="410"/>
      <c r="B191" s="410"/>
      <c r="C191" s="410"/>
      <c r="D191" s="410"/>
      <c r="E191" s="410"/>
      <c r="F191" s="410"/>
      <c r="G191" s="780"/>
      <c r="H191" s="781"/>
      <c r="I191" s="410"/>
    </row>
    <row r="192" ht="18.0" customHeight="1">
      <c r="A192" s="410"/>
      <c r="B192" s="410"/>
      <c r="C192" s="410"/>
      <c r="D192" s="410"/>
      <c r="E192" s="410"/>
      <c r="F192" s="410"/>
      <c r="G192" s="780"/>
      <c r="H192" s="781"/>
      <c r="I192" s="410"/>
    </row>
    <row r="193" ht="18.0" customHeight="1">
      <c r="A193" s="410"/>
      <c r="B193" s="410"/>
      <c r="C193" s="410"/>
      <c r="D193" s="410"/>
      <c r="E193" s="410"/>
      <c r="F193" s="410"/>
      <c r="G193" s="780"/>
      <c r="H193" s="781"/>
      <c r="I193" s="410"/>
    </row>
    <row r="194" ht="18.0" customHeight="1">
      <c r="A194" s="410"/>
      <c r="B194" s="410"/>
      <c r="C194" s="410"/>
      <c r="D194" s="410"/>
      <c r="E194" s="410"/>
      <c r="F194" s="410"/>
      <c r="G194" s="780"/>
      <c r="H194" s="781"/>
      <c r="I194" s="410"/>
    </row>
    <row r="195" ht="18.0" customHeight="1">
      <c r="A195" s="410"/>
      <c r="B195" s="410"/>
      <c r="C195" s="410"/>
      <c r="D195" s="410"/>
      <c r="E195" s="410"/>
      <c r="F195" s="410"/>
      <c r="G195" s="780"/>
      <c r="H195" s="781"/>
      <c r="I195" s="410"/>
    </row>
    <row r="196" ht="18.0" customHeight="1">
      <c r="A196" s="410"/>
      <c r="B196" s="410"/>
      <c r="C196" s="410"/>
      <c r="D196" s="410"/>
      <c r="E196" s="410"/>
      <c r="F196" s="410"/>
      <c r="G196" s="780"/>
      <c r="H196" s="781"/>
      <c r="I196" s="410"/>
    </row>
    <row r="197" ht="18.0" customHeight="1">
      <c r="A197" s="410"/>
      <c r="B197" s="410"/>
      <c r="C197" s="410"/>
      <c r="D197" s="410"/>
      <c r="E197" s="410"/>
      <c r="F197" s="410"/>
      <c r="G197" s="780"/>
      <c r="H197" s="781"/>
      <c r="I197" s="410"/>
    </row>
    <row r="198" ht="18.0" customHeight="1">
      <c r="A198" s="410"/>
      <c r="B198" s="410"/>
      <c r="C198" s="410"/>
      <c r="D198" s="410"/>
      <c r="E198" s="410"/>
      <c r="F198" s="410"/>
      <c r="G198" s="780"/>
      <c r="H198" s="781"/>
      <c r="I198" s="410"/>
    </row>
    <row r="199" ht="18.0" customHeight="1">
      <c r="A199" s="410"/>
      <c r="B199" s="410"/>
      <c r="C199" s="410"/>
      <c r="D199" s="410"/>
      <c r="E199" s="410"/>
      <c r="F199" s="410"/>
      <c r="G199" s="780"/>
      <c r="H199" s="781"/>
      <c r="I199" s="410"/>
    </row>
    <row r="200" ht="18.0" customHeight="1">
      <c r="A200" s="410"/>
      <c r="B200" s="410"/>
      <c r="C200" s="410"/>
      <c r="D200" s="410"/>
      <c r="E200" s="410"/>
      <c r="F200" s="410"/>
      <c r="G200" s="780"/>
      <c r="H200" s="781"/>
      <c r="I200" s="410"/>
    </row>
    <row r="201" ht="18.0" customHeight="1">
      <c r="A201" s="410"/>
      <c r="B201" s="410"/>
      <c r="C201" s="410"/>
      <c r="D201" s="410"/>
      <c r="E201" s="410"/>
      <c r="F201" s="410"/>
      <c r="G201" s="780"/>
      <c r="H201" s="781"/>
      <c r="I201" s="410"/>
    </row>
    <row r="202" ht="18.0" customHeight="1">
      <c r="A202" s="410"/>
      <c r="B202" s="410"/>
      <c r="C202" s="410"/>
      <c r="D202" s="410"/>
      <c r="E202" s="410"/>
      <c r="F202" s="410"/>
      <c r="G202" s="780"/>
      <c r="H202" s="781"/>
      <c r="I202" s="410"/>
    </row>
    <row r="203" ht="18.0" customHeight="1">
      <c r="A203" s="410"/>
      <c r="B203" s="410"/>
      <c r="C203" s="410"/>
      <c r="D203" s="410"/>
      <c r="E203" s="410"/>
      <c r="F203" s="410"/>
      <c r="G203" s="780"/>
      <c r="H203" s="781"/>
      <c r="I203" s="410"/>
    </row>
    <row r="204" ht="18.0" customHeight="1">
      <c r="A204" s="410"/>
      <c r="B204" s="410"/>
      <c r="C204" s="410"/>
      <c r="D204" s="410"/>
      <c r="E204" s="410"/>
      <c r="F204" s="410"/>
      <c r="G204" s="780"/>
      <c r="H204" s="781"/>
      <c r="I204" s="410"/>
    </row>
    <row r="205" ht="18.0" customHeight="1">
      <c r="A205" s="410"/>
      <c r="B205" s="410"/>
      <c r="C205" s="410"/>
      <c r="D205" s="410"/>
      <c r="E205" s="410"/>
      <c r="F205" s="410"/>
      <c r="G205" s="780"/>
      <c r="H205" s="781"/>
      <c r="I205" s="410"/>
    </row>
    <row r="206" ht="18.0" customHeight="1">
      <c r="A206" s="410"/>
      <c r="B206" s="410"/>
      <c r="C206" s="410"/>
      <c r="D206" s="410"/>
      <c r="E206" s="410"/>
      <c r="F206" s="410"/>
      <c r="G206" s="780"/>
      <c r="H206" s="781"/>
      <c r="I206" s="410"/>
    </row>
    <row r="207" ht="18.0" customHeight="1">
      <c r="A207" s="410"/>
      <c r="B207" s="410"/>
      <c r="C207" s="410"/>
      <c r="D207" s="410"/>
      <c r="E207" s="410"/>
      <c r="F207" s="410"/>
      <c r="G207" s="780"/>
      <c r="H207" s="781"/>
      <c r="I207" s="410"/>
    </row>
    <row r="208" ht="18.0" customHeight="1">
      <c r="A208" s="410"/>
      <c r="B208" s="410"/>
      <c r="C208" s="410"/>
      <c r="D208" s="410"/>
      <c r="E208" s="410"/>
      <c r="F208" s="410"/>
      <c r="G208" s="780"/>
      <c r="H208" s="781"/>
      <c r="I208" s="410"/>
    </row>
    <row r="209" ht="18.0" customHeight="1">
      <c r="A209" s="410"/>
      <c r="B209" s="410"/>
      <c r="C209" s="410"/>
      <c r="D209" s="410"/>
      <c r="E209" s="410"/>
      <c r="F209" s="410"/>
      <c r="G209" s="780"/>
      <c r="H209" s="781"/>
      <c r="I209" s="410"/>
    </row>
    <row r="210" ht="18.0" customHeight="1">
      <c r="A210" s="410"/>
      <c r="B210" s="410"/>
      <c r="C210" s="410"/>
      <c r="D210" s="410"/>
      <c r="E210" s="410"/>
      <c r="F210" s="410"/>
      <c r="G210" s="780"/>
      <c r="H210" s="781"/>
      <c r="I210" s="410"/>
    </row>
    <row r="211" ht="18.0" customHeight="1">
      <c r="A211" s="410"/>
      <c r="B211" s="410"/>
      <c r="C211" s="410"/>
      <c r="D211" s="410"/>
      <c r="E211" s="410"/>
      <c r="F211" s="410"/>
      <c r="G211" s="780"/>
      <c r="H211" s="781"/>
      <c r="I211" s="410"/>
    </row>
    <row r="212" ht="18.0" customHeight="1">
      <c r="A212" s="410"/>
      <c r="B212" s="410"/>
      <c r="C212" s="410"/>
      <c r="D212" s="410"/>
      <c r="E212" s="410"/>
      <c r="F212" s="410"/>
      <c r="G212" s="780"/>
      <c r="H212" s="781"/>
      <c r="I212" s="410"/>
    </row>
    <row r="213" ht="18.0" customHeight="1">
      <c r="A213" s="410"/>
      <c r="B213" s="410"/>
      <c r="C213" s="410"/>
      <c r="D213" s="410"/>
      <c r="E213" s="410"/>
      <c r="F213" s="410"/>
      <c r="G213" s="780"/>
      <c r="H213" s="781"/>
      <c r="I213" s="410"/>
    </row>
    <row r="214" ht="18.0" customHeight="1">
      <c r="A214" s="410"/>
      <c r="B214" s="410"/>
      <c r="C214" s="410"/>
      <c r="D214" s="410"/>
      <c r="E214" s="410"/>
      <c r="F214" s="410"/>
      <c r="G214" s="780"/>
      <c r="H214" s="781"/>
      <c r="I214" s="410"/>
    </row>
    <row r="215" ht="18.0" customHeight="1">
      <c r="A215" s="410"/>
      <c r="B215" s="410"/>
      <c r="C215" s="410"/>
      <c r="D215" s="410"/>
      <c r="E215" s="410"/>
      <c r="F215" s="410"/>
      <c r="G215" s="780"/>
      <c r="H215" s="781"/>
      <c r="I215" s="410"/>
    </row>
    <row r="216" ht="18.0" customHeight="1">
      <c r="A216" s="410"/>
      <c r="B216" s="410"/>
      <c r="C216" s="410"/>
      <c r="D216" s="410"/>
      <c r="E216" s="410"/>
      <c r="F216" s="410"/>
      <c r="G216" s="780"/>
      <c r="H216" s="781"/>
      <c r="I216" s="410"/>
    </row>
    <row r="217" ht="18.0" customHeight="1">
      <c r="A217" s="410"/>
      <c r="B217" s="410"/>
      <c r="C217" s="410"/>
      <c r="D217" s="410"/>
      <c r="E217" s="410"/>
      <c r="F217" s="410"/>
      <c r="G217" s="780"/>
      <c r="H217" s="781"/>
      <c r="I217" s="410"/>
    </row>
    <row r="218" ht="18.0" customHeight="1">
      <c r="A218" s="410"/>
      <c r="B218" s="410"/>
      <c r="C218" s="410"/>
      <c r="D218" s="410"/>
      <c r="E218" s="410"/>
      <c r="F218" s="410"/>
      <c r="G218" s="780"/>
      <c r="H218" s="781"/>
      <c r="I218" s="410"/>
    </row>
    <row r="219" ht="18.0" customHeight="1">
      <c r="A219" s="410"/>
      <c r="B219" s="410"/>
      <c r="C219" s="410"/>
      <c r="D219" s="410"/>
      <c r="E219" s="410"/>
      <c r="F219" s="410"/>
      <c r="G219" s="780"/>
      <c r="H219" s="781"/>
      <c r="I219" s="410"/>
    </row>
    <row r="220" ht="18.0" customHeight="1">
      <c r="A220" s="410"/>
      <c r="B220" s="410"/>
      <c r="C220" s="410"/>
      <c r="D220" s="410"/>
      <c r="E220" s="410"/>
      <c r="F220" s="410"/>
      <c r="G220" s="780"/>
      <c r="H220" s="781"/>
      <c r="I220" s="410"/>
    </row>
    <row r="221" ht="18.0" customHeight="1">
      <c r="A221" s="410"/>
      <c r="B221" s="410"/>
      <c r="C221" s="410"/>
      <c r="D221" s="410"/>
      <c r="E221" s="410"/>
      <c r="F221" s="410"/>
      <c r="G221" s="780"/>
      <c r="H221" s="781"/>
      <c r="I221" s="410"/>
    </row>
    <row r="222" ht="18.0" customHeight="1">
      <c r="A222" s="410"/>
      <c r="B222" s="410"/>
      <c r="C222" s="410"/>
      <c r="D222" s="410"/>
      <c r="E222" s="410"/>
      <c r="F222" s="410"/>
      <c r="G222" s="780"/>
      <c r="H222" s="781"/>
      <c r="I222" s="410"/>
    </row>
    <row r="223" ht="18.0" customHeight="1">
      <c r="A223" s="410"/>
      <c r="B223" s="410"/>
      <c r="C223" s="410"/>
      <c r="D223" s="410"/>
      <c r="E223" s="410"/>
      <c r="F223" s="410"/>
      <c r="G223" s="780"/>
      <c r="H223" s="781"/>
      <c r="I223" s="410"/>
    </row>
    <row r="224" ht="18.0" customHeight="1">
      <c r="A224" s="410"/>
      <c r="B224" s="410"/>
      <c r="C224" s="410"/>
      <c r="D224" s="410"/>
      <c r="E224" s="410"/>
      <c r="F224" s="410"/>
      <c r="G224" s="780"/>
      <c r="H224" s="781"/>
      <c r="I224" s="410"/>
    </row>
    <row r="225" ht="18.0" customHeight="1">
      <c r="A225" s="410"/>
      <c r="B225" s="410"/>
      <c r="C225" s="410"/>
      <c r="D225" s="410"/>
      <c r="E225" s="410"/>
      <c r="F225" s="410"/>
      <c r="G225" s="780"/>
      <c r="H225" s="781"/>
      <c r="I225" s="410"/>
    </row>
    <row r="226" ht="18.0" customHeight="1">
      <c r="A226" s="410"/>
      <c r="B226" s="410"/>
      <c r="C226" s="410"/>
      <c r="D226" s="410"/>
      <c r="E226" s="410"/>
      <c r="F226" s="410"/>
      <c r="G226" s="780"/>
      <c r="H226" s="781"/>
      <c r="I226" s="410"/>
    </row>
    <row r="227" ht="18.0" customHeight="1">
      <c r="A227" s="410"/>
      <c r="B227" s="410"/>
      <c r="C227" s="410"/>
      <c r="D227" s="410"/>
      <c r="E227" s="410"/>
      <c r="F227" s="410"/>
      <c r="G227" s="780"/>
      <c r="H227" s="781"/>
      <c r="I227" s="410"/>
    </row>
    <row r="228" ht="18.0" customHeight="1">
      <c r="A228" s="410"/>
      <c r="B228" s="410"/>
      <c r="C228" s="410"/>
      <c r="D228" s="410"/>
      <c r="E228" s="410"/>
      <c r="F228" s="410"/>
      <c r="G228" s="780"/>
      <c r="H228" s="781"/>
      <c r="I228" s="410"/>
    </row>
    <row r="229" ht="18.0" customHeight="1">
      <c r="A229" s="410"/>
      <c r="B229" s="410"/>
      <c r="C229" s="410"/>
      <c r="D229" s="410"/>
      <c r="E229" s="410"/>
      <c r="F229" s="410"/>
      <c r="G229" s="780"/>
      <c r="H229" s="781"/>
      <c r="I229" s="410"/>
    </row>
    <row r="230" ht="18.0" customHeight="1">
      <c r="A230" s="410"/>
      <c r="B230" s="410"/>
      <c r="C230" s="410"/>
      <c r="D230" s="410"/>
      <c r="E230" s="410"/>
      <c r="F230" s="410"/>
      <c r="G230" s="780"/>
      <c r="H230" s="781"/>
      <c r="I230" s="410"/>
    </row>
    <row r="231" ht="18.0" customHeight="1">
      <c r="A231" s="410"/>
      <c r="B231" s="410"/>
      <c r="C231" s="410"/>
      <c r="D231" s="410"/>
      <c r="E231" s="410"/>
      <c r="F231" s="410"/>
      <c r="G231" s="780"/>
      <c r="H231" s="781"/>
      <c r="I231" s="410"/>
    </row>
    <row r="232" ht="18.0" customHeight="1">
      <c r="A232" s="410"/>
      <c r="B232" s="410"/>
      <c r="C232" s="410"/>
      <c r="D232" s="410"/>
      <c r="E232" s="410"/>
      <c r="F232" s="410"/>
      <c r="G232" s="780"/>
      <c r="H232" s="781"/>
      <c r="I232" s="410"/>
    </row>
    <row r="233" ht="18.0" customHeight="1">
      <c r="A233" s="410"/>
      <c r="B233" s="410"/>
      <c r="C233" s="410"/>
      <c r="D233" s="410"/>
      <c r="E233" s="410"/>
      <c r="F233" s="410"/>
      <c r="G233" s="780"/>
      <c r="H233" s="781"/>
      <c r="I233" s="410"/>
    </row>
    <row r="234" ht="18.0" customHeight="1">
      <c r="A234" s="410"/>
      <c r="B234" s="410"/>
      <c r="C234" s="410"/>
      <c r="D234" s="410"/>
      <c r="E234" s="410"/>
      <c r="F234" s="410"/>
      <c r="G234" s="780"/>
      <c r="H234" s="781"/>
      <c r="I234" s="410"/>
    </row>
    <row r="235" ht="18.0" customHeight="1">
      <c r="A235" s="410"/>
      <c r="B235" s="410"/>
      <c r="C235" s="410"/>
      <c r="D235" s="410"/>
      <c r="E235" s="410"/>
      <c r="F235" s="410"/>
      <c r="G235" s="780"/>
      <c r="H235" s="781"/>
      <c r="I235" s="410"/>
    </row>
    <row r="236" ht="18.0" customHeight="1">
      <c r="A236" s="410"/>
      <c r="B236" s="410"/>
      <c r="C236" s="410"/>
      <c r="D236" s="410"/>
      <c r="E236" s="410"/>
      <c r="F236" s="410"/>
      <c r="G236" s="780"/>
      <c r="H236" s="781"/>
      <c r="I236" s="410"/>
    </row>
    <row r="237" ht="18.0" customHeight="1">
      <c r="A237" s="410"/>
      <c r="B237" s="410"/>
      <c r="C237" s="410"/>
      <c r="D237" s="410"/>
      <c r="E237" s="410"/>
      <c r="F237" s="410"/>
      <c r="G237" s="780"/>
      <c r="H237" s="781"/>
      <c r="I237" s="410"/>
    </row>
    <row r="238" ht="18.0" customHeight="1">
      <c r="A238" s="410"/>
      <c r="B238" s="410"/>
      <c r="C238" s="410"/>
      <c r="D238" s="410"/>
      <c r="E238" s="410"/>
      <c r="F238" s="410"/>
      <c r="G238" s="780"/>
      <c r="H238" s="781"/>
      <c r="I238" s="410"/>
    </row>
    <row r="239" ht="18.0" customHeight="1">
      <c r="A239" s="410"/>
      <c r="B239" s="410"/>
      <c r="C239" s="410"/>
      <c r="D239" s="410"/>
      <c r="E239" s="410"/>
      <c r="F239" s="410"/>
      <c r="G239" s="780"/>
      <c r="H239" s="781"/>
      <c r="I239" s="410"/>
    </row>
    <row r="240" ht="18.0" customHeight="1">
      <c r="A240" s="410"/>
      <c r="B240" s="410"/>
      <c r="C240" s="410"/>
      <c r="D240" s="410"/>
      <c r="E240" s="410"/>
      <c r="F240" s="410"/>
      <c r="G240" s="780"/>
      <c r="H240" s="781"/>
      <c r="I240" s="410"/>
    </row>
    <row r="241" ht="18.0" customHeight="1">
      <c r="A241" s="410"/>
      <c r="B241" s="410"/>
      <c r="C241" s="410"/>
      <c r="D241" s="410"/>
      <c r="E241" s="410"/>
      <c r="F241" s="410"/>
      <c r="G241" s="780"/>
      <c r="H241" s="781"/>
      <c r="I241" s="410"/>
    </row>
    <row r="242" ht="18.0" customHeight="1">
      <c r="A242" s="410"/>
      <c r="B242" s="410"/>
      <c r="C242" s="410"/>
      <c r="D242" s="410"/>
      <c r="E242" s="410"/>
      <c r="F242" s="410"/>
      <c r="G242" s="780"/>
      <c r="H242" s="781"/>
      <c r="I242" s="410"/>
    </row>
    <row r="243" ht="18.0" customHeight="1">
      <c r="A243" s="410"/>
      <c r="B243" s="410"/>
      <c r="C243" s="410"/>
      <c r="D243" s="410"/>
      <c r="E243" s="410"/>
      <c r="F243" s="410"/>
      <c r="G243" s="780"/>
      <c r="H243" s="781"/>
      <c r="I243" s="410"/>
    </row>
    <row r="244" ht="18.0" customHeight="1">
      <c r="A244" s="410"/>
      <c r="B244" s="410"/>
      <c r="C244" s="410"/>
      <c r="D244" s="410"/>
      <c r="E244" s="410"/>
      <c r="F244" s="410"/>
      <c r="G244" s="780"/>
      <c r="H244" s="781"/>
      <c r="I244" s="410"/>
    </row>
    <row r="245" ht="18.0" customHeight="1">
      <c r="A245" s="410"/>
      <c r="B245" s="410"/>
      <c r="C245" s="410"/>
      <c r="D245" s="410"/>
      <c r="E245" s="410"/>
      <c r="F245" s="410"/>
      <c r="G245" s="780"/>
      <c r="H245" s="781"/>
      <c r="I245" s="410"/>
    </row>
    <row r="246" ht="18.0" customHeight="1">
      <c r="A246" s="410"/>
      <c r="B246" s="410"/>
      <c r="C246" s="410"/>
      <c r="D246" s="410"/>
      <c r="E246" s="410"/>
      <c r="F246" s="410"/>
      <c r="G246" s="780"/>
      <c r="H246" s="781"/>
      <c r="I246" s="410"/>
    </row>
    <row r="247" ht="18.0" customHeight="1">
      <c r="A247" s="410"/>
      <c r="B247" s="410"/>
      <c r="C247" s="410"/>
      <c r="D247" s="410"/>
      <c r="E247" s="410"/>
      <c r="F247" s="410"/>
      <c r="G247" s="780"/>
      <c r="H247" s="781"/>
      <c r="I247" s="410"/>
    </row>
    <row r="248" ht="18.0" customHeight="1">
      <c r="A248" s="410"/>
      <c r="B248" s="410"/>
      <c r="C248" s="410"/>
      <c r="D248" s="410"/>
      <c r="E248" s="410"/>
      <c r="F248" s="410"/>
      <c r="G248" s="780"/>
      <c r="H248" s="781"/>
      <c r="I248" s="410"/>
    </row>
    <row r="249" ht="18.0" customHeight="1">
      <c r="A249" s="410"/>
      <c r="B249" s="410"/>
      <c r="C249" s="410"/>
      <c r="D249" s="410"/>
      <c r="E249" s="410"/>
      <c r="F249" s="410"/>
      <c r="G249" s="780"/>
      <c r="H249" s="781"/>
      <c r="I249" s="410"/>
    </row>
    <row r="250" ht="18.0" customHeight="1">
      <c r="A250" s="410"/>
      <c r="B250" s="410"/>
      <c r="C250" s="410"/>
      <c r="D250" s="410"/>
      <c r="E250" s="410"/>
      <c r="F250" s="410"/>
      <c r="G250" s="780"/>
      <c r="H250" s="781"/>
      <c r="I250" s="410"/>
    </row>
    <row r="251" ht="18.0" customHeight="1">
      <c r="A251" s="410"/>
      <c r="B251" s="410"/>
      <c r="C251" s="410"/>
      <c r="D251" s="410"/>
      <c r="E251" s="410"/>
      <c r="F251" s="410"/>
      <c r="G251" s="780"/>
      <c r="H251" s="781"/>
      <c r="I251" s="410"/>
    </row>
    <row r="252" ht="18.0" customHeight="1">
      <c r="A252" s="410"/>
      <c r="B252" s="410"/>
      <c r="C252" s="410"/>
      <c r="D252" s="410"/>
      <c r="E252" s="410"/>
      <c r="F252" s="410"/>
      <c r="G252" s="780"/>
      <c r="H252" s="781"/>
      <c r="I252" s="410"/>
    </row>
    <row r="253" ht="18.0" customHeight="1">
      <c r="A253" s="410"/>
      <c r="B253" s="410"/>
      <c r="C253" s="410"/>
      <c r="D253" s="410"/>
      <c r="E253" s="410"/>
      <c r="F253" s="410"/>
      <c r="G253" s="780"/>
      <c r="H253" s="781"/>
      <c r="I253" s="410"/>
    </row>
    <row r="254" ht="18.0" customHeight="1">
      <c r="A254" s="410"/>
      <c r="B254" s="410"/>
      <c r="C254" s="410"/>
      <c r="D254" s="410"/>
      <c r="E254" s="410"/>
      <c r="F254" s="410"/>
      <c r="G254" s="780"/>
      <c r="H254" s="781"/>
      <c r="I254" s="410"/>
    </row>
    <row r="255" ht="18.0" customHeight="1">
      <c r="A255" s="410"/>
      <c r="B255" s="410"/>
      <c r="C255" s="410"/>
      <c r="D255" s="410"/>
      <c r="E255" s="410"/>
      <c r="F255" s="410"/>
      <c r="G255" s="780"/>
      <c r="H255" s="781"/>
      <c r="I255" s="410"/>
    </row>
    <row r="256" ht="18.0" customHeight="1">
      <c r="A256" s="410"/>
      <c r="B256" s="410"/>
      <c r="C256" s="410"/>
      <c r="D256" s="410"/>
      <c r="E256" s="410"/>
      <c r="F256" s="410"/>
      <c r="G256" s="780"/>
      <c r="H256" s="781"/>
      <c r="I256" s="410"/>
    </row>
    <row r="257" ht="18.0" customHeight="1">
      <c r="A257" s="410"/>
      <c r="B257" s="410"/>
      <c r="C257" s="410"/>
      <c r="D257" s="410"/>
      <c r="E257" s="410"/>
      <c r="F257" s="410"/>
      <c r="G257" s="780"/>
      <c r="H257" s="781"/>
      <c r="I257" s="410"/>
    </row>
    <row r="258" ht="18.0" customHeight="1">
      <c r="A258" s="410"/>
      <c r="B258" s="410"/>
      <c r="C258" s="410"/>
      <c r="D258" s="410"/>
      <c r="E258" s="410"/>
      <c r="F258" s="410"/>
      <c r="G258" s="780"/>
      <c r="H258" s="781"/>
      <c r="I258" s="410"/>
    </row>
    <row r="259" ht="18.0" customHeight="1">
      <c r="A259" s="410"/>
      <c r="B259" s="410"/>
      <c r="C259" s="410"/>
      <c r="D259" s="410"/>
      <c r="E259" s="410"/>
      <c r="F259" s="410"/>
      <c r="G259" s="780"/>
      <c r="H259" s="781"/>
      <c r="I259" s="410"/>
    </row>
    <row r="260" ht="18.0" customHeight="1">
      <c r="A260" s="410"/>
      <c r="B260" s="410"/>
      <c r="C260" s="410"/>
      <c r="D260" s="410"/>
      <c r="E260" s="410"/>
      <c r="F260" s="410"/>
      <c r="G260" s="780"/>
      <c r="H260" s="781"/>
      <c r="I260" s="410"/>
    </row>
    <row r="261" ht="18.0" customHeight="1">
      <c r="A261" s="410"/>
      <c r="B261" s="410"/>
      <c r="C261" s="410"/>
      <c r="D261" s="410"/>
      <c r="E261" s="410"/>
      <c r="F261" s="410"/>
      <c r="G261" s="780"/>
      <c r="H261" s="781"/>
      <c r="I261" s="410"/>
    </row>
    <row r="262" ht="18.0" customHeight="1">
      <c r="A262" s="410"/>
      <c r="B262" s="410"/>
      <c r="C262" s="410"/>
      <c r="D262" s="410"/>
      <c r="E262" s="410"/>
      <c r="F262" s="410"/>
      <c r="G262" s="780"/>
      <c r="H262" s="781"/>
      <c r="I262" s="410"/>
    </row>
    <row r="263" ht="18.0" customHeight="1">
      <c r="A263" s="410"/>
      <c r="B263" s="410"/>
      <c r="C263" s="410"/>
      <c r="D263" s="410"/>
      <c r="E263" s="410"/>
      <c r="F263" s="410"/>
      <c r="G263" s="780"/>
      <c r="H263" s="781"/>
      <c r="I263" s="410"/>
    </row>
    <row r="264" ht="18.0" customHeight="1">
      <c r="A264" s="410"/>
      <c r="B264" s="410"/>
      <c r="C264" s="410"/>
      <c r="D264" s="410"/>
      <c r="E264" s="410"/>
      <c r="F264" s="410"/>
      <c r="G264" s="780"/>
      <c r="H264" s="781"/>
      <c r="I264" s="410"/>
    </row>
    <row r="265" ht="18.0" customHeight="1">
      <c r="A265" s="410"/>
      <c r="B265" s="410"/>
      <c r="C265" s="410"/>
      <c r="D265" s="410"/>
      <c r="E265" s="410"/>
      <c r="F265" s="410"/>
      <c r="G265" s="780"/>
      <c r="H265" s="781"/>
      <c r="I265" s="410"/>
    </row>
    <row r="266" ht="18.0" customHeight="1">
      <c r="A266" s="410"/>
      <c r="B266" s="410"/>
      <c r="C266" s="410"/>
      <c r="D266" s="410"/>
      <c r="E266" s="410"/>
      <c r="F266" s="410"/>
      <c r="G266" s="780"/>
      <c r="H266" s="781"/>
      <c r="I266" s="410"/>
    </row>
    <row r="267" ht="18.0" customHeight="1">
      <c r="A267" s="410"/>
      <c r="B267" s="410"/>
      <c r="C267" s="410"/>
      <c r="D267" s="410"/>
      <c r="E267" s="410"/>
      <c r="F267" s="410"/>
      <c r="G267" s="780"/>
      <c r="H267" s="781"/>
      <c r="I267" s="410"/>
    </row>
    <row r="268" ht="18.0" customHeight="1">
      <c r="A268" s="410"/>
      <c r="B268" s="410"/>
      <c r="C268" s="410"/>
      <c r="D268" s="410"/>
      <c r="E268" s="410"/>
      <c r="F268" s="410"/>
      <c r="G268" s="780"/>
      <c r="H268" s="781"/>
      <c r="I268" s="410"/>
    </row>
    <row r="269" ht="18.0" customHeight="1">
      <c r="A269" s="410"/>
      <c r="B269" s="410"/>
      <c r="C269" s="410"/>
      <c r="D269" s="410"/>
      <c r="E269" s="410"/>
      <c r="F269" s="410"/>
      <c r="G269" s="780"/>
      <c r="H269" s="781"/>
      <c r="I269" s="410"/>
    </row>
    <row r="270" ht="18.0" customHeight="1">
      <c r="A270" s="410"/>
      <c r="B270" s="410"/>
      <c r="C270" s="410"/>
      <c r="D270" s="410"/>
      <c r="E270" s="410"/>
      <c r="F270" s="410"/>
      <c r="G270" s="780"/>
      <c r="H270" s="781"/>
      <c r="I270" s="410"/>
    </row>
    <row r="271" ht="18.0" customHeight="1">
      <c r="A271" s="410"/>
      <c r="B271" s="410"/>
      <c r="C271" s="410"/>
      <c r="D271" s="410"/>
      <c r="E271" s="410"/>
      <c r="F271" s="410"/>
      <c r="G271" s="780"/>
      <c r="H271" s="781"/>
      <c r="I271" s="410"/>
    </row>
    <row r="272" ht="18.0" customHeight="1">
      <c r="A272" s="410"/>
      <c r="B272" s="410"/>
      <c r="C272" s="410"/>
      <c r="D272" s="410"/>
      <c r="E272" s="410"/>
      <c r="F272" s="410"/>
      <c r="G272" s="780"/>
      <c r="H272" s="781"/>
      <c r="I272" s="410"/>
    </row>
    <row r="273" ht="18.0" customHeight="1">
      <c r="A273" s="410"/>
      <c r="B273" s="410"/>
      <c r="C273" s="410"/>
      <c r="D273" s="410"/>
      <c r="E273" s="410"/>
      <c r="F273" s="410"/>
      <c r="G273" s="780"/>
      <c r="H273" s="781"/>
      <c r="I273" s="410"/>
    </row>
    <row r="274" ht="18.0" customHeight="1">
      <c r="A274" s="410"/>
      <c r="B274" s="410"/>
      <c r="C274" s="410"/>
      <c r="D274" s="410"/>
      <c r="E274" s="410"/>
      <c r="F274" s="410"/>
      <c r="G274" s="780"/>
      <c r="H274" s="781"/>
      <c r="I274" s="410"/>
    </row>
    <row r="275" ht="18.0" customHeight="1">
      <c r="A275" s="410"/>
      <c r="B275" s="410"/>
      <c r="C275" s="410"/>
      <c r="D275" s="410"/>
      <c r="E275" s="410"/>
      <c r="F275" s="410"/>
      <c r="G275" s="780"/>
      <c r="H275" s="781"/>
      <c r="I275" s="410"/>
    </row>
    <row r="276" ht="18.0" customHeight="1">
      <c r="A276" s="410"/>
      <c r="B276" s="410"/>
      <c r="C276" s="410"/>
      <c r="D276" s="410"/>
      <c r="E276" s="410"/>
      <c r="F276" s="410"/>
      <c r="G276" s="780"/>
      <c r="H276" s="781"/>
      <c r="I276" s="410"/>
    </row>
    <row r="277" ht="18.0" customHeight="1">
      <c r="A277" s="410"/>
      <c r="B277" s="410"/>
      <c r="C277" s="410"/>
      <c r="D277" s="410"/>
      <c r="E277" s="410"/>
      <c r="F277" s="410"/>
      <c r="G277" s="780"/>
      <c r="H277" s="781"/>
      <c r="I277" s="410"/>
    </row>
    <row r="278" ht="18.0" customHeight="1">
      <c r="A278" s="410"/>
      <c r="B278" s="410"/>
      <c r="C278" s="410"/>
      <c r="D278" s="410"/>
      <c r="E278" s="410"/>
      <c r="F278" s="410"/>
      <c r="G278" s="780"/>
      <c r="H278" s="781"/>
      <c r="I278" s="410"/>
    </row>
    <row r="279" ht="18.0" customHeight="1">
      <c r="A279" s="410"/>
      <c r="B279" s="410"/>
      <c r="C279" s="410"/>
      <c r="D279" s="410"/>
      <c r="E279" s="410"/>
      <c r="F279" s="410"/>
      <c r="G279" s="780"/>
      <c r="H279" s="781"/>
      <c r="I279" s="410"/>
    </row>
    <row r="280" ht="18.0" customHeight="1">
      <c r="A280" s="410"/>
      <c r="B280" s="410"/>
      <c r="C280" s="410"/>
      <c r="D280" s="410"/>
      <c r="E280" s="410"/>
      <c r="F280" s="410"/>
      <c r="G280" s="780"/>
      <c r="H280" s="781"/>
      <c r="I280" s="410"/>
    </row>
    <row r="281" ht="18.0" customHeight="1">
      <c r="A281" s="410"/>
      <c r="B281" s="410"/>
      <c r="C281" s="410"/>
      <c r="D281" s="410"/>
      <c r="E281" s="410"/>
      <c r="F281" s="410"/>
      <c r="G281" s="780"/>
      <c r="H281" s="781"/>
      <c r="I281" s="410"/>
    </row>
    <row r="282" ht="18.0" customHeight="1">
      <c r="A282" s="410"/>
      <c r="B282" s="410"/>
      <c r="C282" s="410"/>
      <c r="D282" s="410"/>
      <c r="E282" s="410"/>
      <c r="F282" s="410"/>
      <c r="G282" s="780"/>
      <c r="H282" s="781"/>
      <c r="I282" s="410"/>
    </row>
    <row r="283" ht="18.0" customHeight="1">
      <c r="A283" s="410"/>
      <c r="B283" s="410"/>
      <c r="C283" s="410"/>
      <c r="D283" s="410"/>
      <c r="E283" s="410"/>
      <c r="F283" s="410"/>
      <c r="G283" s="780"/>
      <c r="H283" s="781"/>
      <c r="I283" s="410"/>
    </row>
    <row r="284" ht="18.0" customHeight="1">
      <c r="A284" s="410"/>
      <c r="B284" s="410"/>
      <c r="C284" s="410"/>
      <c r="D284" s="410"/>
      <c r="E284" s="410"/>
      <c r="F284" s="410"/>
      <c r="G284" s="780"/>
      <c r="H284" s="781"/>
      <c r="I284" s="410"/>
    </row>
    <row r="285" ht="18.0" customHeight="1">
      <c r="A285" s="410"/>
      <c r="B285" s="410"/>
      <c r="C285" s="410"/>
      <c r="D285" s="410"/>
      <c r="E285" s="410"/>
      <c r="F285" s="410"/>
      <c r="G285" s="780"/>
      <c r="H285" s="781"/>
      <c r="I285" s="410"/>
    </row>
    <row r="286" ht="18.0" customHeight="1">
      <c r="A286" s="410"/>
      <c r="B286" s="410"/>
      <c r="C286" s="410"/>
      <c r="D286" s="410"/>
      <c r="E286" s="410"/>
      <c r="F286" s="410"/>
      <c r="G286" s="780"/>
      <c r="H286" s="781"/>
      <c r="I286" s="410"/>
    </row>
    <row r="287" ht="18.0" customHeight="1">
      <c r="A287" s="410"/>
      <c r="B287" s="410"/>
      <c r="C287" s="410"/>
      <c r="D287" s="410"/>
      <c r="E287" s="410"/>
      <c r="F287" s="410"/>
      <c r="G287" s="780"/>
      <c r="H287" s="781"/>
      <c r="I287" s="410"/>
    </row>
    <row r="288" ht="18.0" customHeight="1">
      <c r="A288" s="410"/>
      <c r="B288" s="410"/>
      <c r="C288" s="410"/>
      <c r="D288" s="410"/>
      <c r="E288" s="410"/>
      <c r="F288" s="410"/>
      <c r="G288" s="780"/>
      <c r="H288" s="781"/>
      <c r="I288" s="410"/>
    </row>
    <row r="289" ht="18.0" customHeight="1">
      <c r="A289" s="410"/>
      <c r="B289" s="410"/>
      <c r="C289" s="410"/>
      <c r="D289" s="410"/>
      <c r="E289" s="410"/>
      <c r="F289" s="410"/>
      <c r="G289" s="780"/>
      <c r="H289" s="781"/>
      <c r="I289" s="410"/>
    </row>
    <row r="290" ht="18.0" customHeight="1">
      <c r="A290" s="410"/>
      <c r="B290" s="410"/>
      <c r="C290" s="410"/>
      <c r="D290" s="410"/>
      <c r="E290" s="410"/>
      <c r="F290" s="410"/>
      <c r="G290" s="780"/>
      <c r="H290" s="781"/>
      <c r="I290" s="410"/>
    </row>
    <row r="291" ht="18.0" customHeight="1">
      <c r="A291" s="410"/>
      <c r="B291" s="410"/>
      <c r="C291" s="410"/>
      <c r="D291" s="410"/>
      <c r="E291" s="410"/>
      <c r="F291" s="410"/>
      <c r="G291" s="780"/>
      <c r="H291" s="781"/>
      <c r="I291" s="410"/>
    </row>
    <row r="292" ht="18.0" customHeight="1">
      <c r="A292" s="410"/>
      <c r="B292" s="410"/>
      <c r="C292" s="410"/>
      <c r="D292" s="410"/>
      <c r="E292" s="410"/>
      <c r="F292" s="410"/>
      <c r="G292" s="780"/>
      <c r="H292" s="781"/>
      <c r="I292" s="410"/>
    </row>
    <row r="293" ht="18.0" customHeight="1">
      <c r="A293" s="410"/>
      <c r="B293" s="410"/>
      <c r="C293" s="410"/>
      <c r="D293" s="410"/>
      <c r="E293" s="410"/>
      <c r="F293" s="410"/>
      <c r="G293" s="780"/>
      <c r="H293" s="781"/>
      <c r="I293" s="410"/>
    </row>
    <row r="294" ht="18.0" customHeight="1">
      <c r="A294" s="410"/>
      <c r="B294" s="410"/>
      <c r="C294" s="410"/>
      <c r="D294" s="410"/>
      <c r="E294" s="410"/>
      <c r="F294" s="410"/>
      <c r="G294" s="780"/>
      <c r="H294" s="781"/>
      <c r="I294" s="410"/>
    </row>
    <row r="295" ht="18.0" customHeight="1">
      <c r="A295" s="410"/>
      <c r="B295" s="410"/>
      <c r="C295" s="410"/>
      <c r="D295" s="410"/>
      <c r="E295" s="410"/>
      <c r="F295" s="410"/>
      <c r="G295" s="780"/>
      <c r="H295" s="781"/>
      <c r="I295" s="410"/>
    </row>
    <row r="296" ht="18.0" customHeight="1">
      <c r="A296" s="410"/>
      <c r="B296" s="410"/>
      <c r="C296" s="410"/>
      <c r="D296" s="410"/>
      <c r="E296" s="410"/>
      <c r="F296" s="410"/>
      <c r="G296" s="780"/>
      <c r="H296" s="781"/>
      <c r="I296" s="410"/>
    </row>
    <row r="297" ht="18.0" customHeight="1">
      <c r="A297" s="410"/>
      <c r="B297" s="410"/>
      <c r="C297" s="410"/>
      <c r="D297" s="410"/>
      <c r="E297" s="410"/>
      <c r="F297" s="410"/>
      <c r="G297" s="780"/>
      <c r="H297" s="781"/>
      <c r="I297" s="410"/>
    </row>
    <row r="298" ht="18.0" customHeight="1">
      <c r="A298" s="410"/>
      <c r="B298" s="410"/>
      <c r="C298" s="410"/>
      <c r="D298" s="410"/>
      <c r="E298" s="410"/>
      <c r="F298" s="410"/>
      <c r="G298" s="780"/>
      <c r="H298" s="781"/>
      <c r="I298" s="410"/>
    </row>
    <row r="299" ht="18.0" customHeight="1">
      <c r="A299" s="410"/>
      <c r="B299" s="410"/>
      <c r="C299" s="410"/>
      <c r="D299" s="410"/>
      <c r="E299" s="410"/>
      <c r="F299" s="410"/>
      <c r="G299" s="780"/>
      <c r="H299" s="781"/>
      <c r="I299" s="410"/>
    </row>
    <row r="300" ht="18.0" customHeight="1">
      <c r="A300" s="410"/>
      <c r="B300" s="410"/>
      <c r="C300" s="410"/>
      <c r="D300" s="410"/>
      <c r="E300" s="410"/>
      <c r="F300" s="410"/>
      <c r="G300" s="780"/>
      <c r="H300" s="781"/>
      <c r="I300" s="410"/>
    </row>
    <row r="301" ht="18.0" customHeight="1">
      <c r="A301" s="410"/>
      <c r="B301" s="410"/>
      <c r="C301" s="410"/>
      <c r="D301" s="410"/>
      <c r="E301" s="410"/>
      <c r="F301" s="410"/>
      <c r="G301" s="780"/>
      <c r="H301" s="781"/>
      <c r="I301" s="410"/>
    </row>
    <row r="302" ht="18.0" customHeight="1">
      <c r="A302" s="410"/>
      <c r="B302" s="410"/>
      <c r="C302" s="410"/>
      <c r="D302" s="410"/>
      <c r="E302" s="410"/>
      <c r="F302" s="410"/>
      <c r="G302" s="780"/>
      <c r="H302" s="781"/>
      <c r="I302" s="410"/>
    </row>
    <row r="303" ht="18.0" customHeight="1">
      <c r="A303" s="410"/>
      <c r="B303" s="410"/>
      <c r="C303" s="410"/>
      <c r="D303" s="410"/>
      <c r="E303" s="410"/>
      <c r="F303" s="410"/>
      <c r="G303" s="780"/>
      <c r="H303" s="781"/>
      <c r="I303" s="410"/>
    </row>
    <row r="304" ht="18.0" customHeight="1">
      <c r="A304" s="410"/>
      <c r="B304" s="410"/>
      <c r="C304" s="410"/>
      <c r="D304" s="410"/>
      <c r="E304" s="410"/>
      <c r="F304" s="410"/>
      <c r="G304" s="780"/>
      <c r="H304" s="781"/>
      <c r="I304" s="410"/>
    </row>
    <row r="305" ht="18.0" customHeight="1">
      <c r="A305" s="410"/>
      <c r="B305" s="410"/>
      <c r="C305" s="410"/>
      <c r="D305" s="410"/>
      <c r="E305" s="410"/>
      <c r="F305" s="410"/>
      <c r="G305" s="780"/>
      <c r="H305" s="781"/>
      <c r="I305" s="410"/>
    </row>
    <row r="306" ht="18.0" customHeight="1">
      <c r="A306" s="410"/>
      <c r="B306" s="410"/>
      <c r="C306" s="410"/>
      <c r="D306" s="410"/>
      <c r="E306" s="410"/>
      <c r="F306" s="410"/>
      <c r="G306" s="780"/>
      <c r="H306" s="781"/>
      <c r="I306" s="410"/>
    </row>
    <row r="307" ht="18.0" customHeight="1">
      <c r="A307" s="410"/>
      <c r="B307" s="410"/>
      <c r="C307" s="410"/>
      <c r="D307" s="410"/>
      <c r="E307" s="410"/>
      <c r="F307" s="410"/>
      <c r="G307" s="780"/>
      <c r="H307" s="781"/>
      <c r="I307" s="410"/>
    </row>
    <row r="308" ht="18.0" customHeight="1">
      <c r="A308" s="410"/>
      <c r="B308" s="410"/>
      <c r="C308" s="410"/>
      <c r="D308" s="410"/>
      <c r="E308" s="410"/>
      <c r="F308" s="410"/>
      <c r="G308" s="780"/>
      <c r="H308" s="781"/>
      <c r="I308" s="410"/>
    </row>
    <row r="309" ht="18.0" customHeight="1">
      <c r="A309" s="410"/>
      <c r="B309" s="410"/>
      <c r="C309" s="410"/>
      <c r="D309" s="410"/>
      <c r="E309" s="410"/>
      <c r="F309" s="410"/>
      <c r="G309" s="780"/>
      <c r="H309" s="781"/>
      <c r="I309" s="410"/>
    </row>
    <row r="310" ht="18.0" customHeight="1">
      <c r="A310" s="410"/>
      <c r="B310" s="410"/>
      <c r="C310" s="410"/>
      <c r="D310" s="410"/>
      <c r="E310" s="410"/>
      <c r="F310" s="410"/>
      <c r="G310" s="780"/>
      <c r="H310" s="781"/>
      <c r="I310" s="410"/>
    </row>
    <row r="311" ht="18.0" customHeight="1">
      <c r="A311" s="410"/>
      <c r="B311" s="410"/>
      <c r="C311" s="410"/>
      <c r="D311" s="410"/>
      <c r="E311" s="410"/>
      <c r="F311" s="410"/>
      <c r="G311" s="780"/>
      <c r="H311" s="781"/>
      <c r="I311" s="410"/>
    </row>
    <row r="312" ht="18.0" customHeight="1">
      <c r="A312" s="410"/>
      <c r="B312" s="410"/>
      <c r="C312" s="410"/>
      <c r="D312" s="410"/>
      <c r="E312" s="410"/>
      <c r="F312" s="410"/>
      <c r="G312" s="780"/>
      <c r="H312" s="781"/>
      <c r="I312" s="410"/>
    </row>
    <row r="313" ht="18.0" customHeight="1">
      <c r="A313" s="410"/>
      <c r="B313" s="410"/>
      <c r="C313" s="410"/>
      <c r="D313" s="410"/>
      <c r="E313" s="410"/>
      <c r="F313" s="410"/>
      <c r="G313" s="780"/>
      <c r="H313" s="781"/>
      <c r="I313" s="410"/>
    </row>
    <row r="314" ht="18.0" customHeight="1">
      <c r="A314" s="410"/>
      <c r="B314" s="410"/>
      <c r="C314" s="410"/>
      <c r="D314" s="410"/>
      <c r="E314" s="410"/>
      <c r="F314" s="410"/>
      <c r="G314" s="780"/>
      <c r="H314" s="781"/>
      <c r="I314" s="410"/>
    </row>
    <row r="315" ht="18.0" customHeight="1">
      <c r="A315" s="410"/>
      <c r="B315" s="410"/>
      <c r="C315" s="410"/>
      <c r="D315" s="410"/>
      <c r="E315" s="410"/>
      <c r="F315" s="410"/>
      <c r="G315" s="780"/>
      <c r="H315" s="781"/>
      <c r="I315" s="410"/>
    </row>
    <row r="316" ht="18.0" customHeight="1">
      <c r="A316" s="410"/>
      <c r="B316" s="410"/>
      <c r="C316" s="410"/>
      <c r="D316" s="410"/>
      <c r="E316" s="410"/>
      <c r="F316" s="410"/>
      <c r="G316" s="780"/>
      <c r="H316" s="781"/>
      <c r="I316" s="410"/>
    </row>
    <row r="317" ht="18.0" customHeight="1">
      <c r="A317" s="410"/>
      <c r="B317" s="410"/>
      <c r="C317" s="410"/>
      <c r="D317" s="410"/>
      <c r="E317" s="410"/>
      <c r="F317" s="410"/>
      <c r="G317" s="780"/>
      <c r="H317" s="781"/>
      <c r="I317" s="410"/>
    </row>
    <row r="318" ht="18.0" customHeight="1">
      <c r="A318" s="410"/>
      <c r="B318" s="410"/>
      <c r="C318" s="410"/>
      <c r="D318" s="410"/>
      <c r="E318" s="410"/>
      <c r="F318" s="410"/>
      <c r="G318" s="780"/>
      <c r="H318" s="781"/>
      <c r="I318" s="410"/>
    </row>
    <row r="319" ht="18.0" customHeight="1">
      <c r="A319" s="410"/>
      <c r="B319" s="410"/>
      <c r="C319" s="410"/>
      <c r="D319" s="410"/>
      <c r="E319" s="410"/>
      <c r="F319" s="410"/>
      <c r="G319" s="780"/>
      <c r="H319" s="781"/>
      <c r="I319" s="410"/>
    </row>
    <row r="320" ht="18.0" customHeight="1">
      <c r="A320" s="410"/>
      <c r="B320" s="410"/>
      <c r="C320" s="410"/>
      <c r="D320" s="410"/>
      <c r="E320" s="410"/>
      <c r="F320" s="410"/>
      <c r="G320" s="780"/>
      <c r="H320" s="781"/>
      <c r="I320" s="410"/>
    </row>
    <row r="321" ht="18.0" customHeight="1">
      <c r="A321" s="410"/>
      <c r="B321" s="410"/>
      <c r="C321" s="410"/>
      <c r="D321" s="410"/>
      <c r="E321" s="410"/>
      <c r="F321" s="410"/>
      <c r="G321" s="780"/>
      <c r="H321" s="781"/>
      <c r="I321" s="410"/>
    </row>
    <row r="322" ht="18.0" customHeight="1">
      <c r="A322" s="410"/>
      <c r="B322" s="410"/>
      <c r="C322" s="410"/>
      <c r="D322" s="410"/>
      <c r="E322" s="410"/>
      <c r="F322" s="410"/>
      <c r="G322" s="780"/>
      <c r="H322" s="781"/>
      <c r="I322" s="410"/>
    </row>
    <row r="323" ht="18.0" customHeight="1">
      <c r="A323" s="410"/>
      <c r="B323" s="410"/>
      <c r="C323" s="410"/>
      <c r="D323" s="410"/>
      <c r="E323" s="410"/>
      <c r="F323" s="410"/>
      <c r="G323" s="780"/>
      <c r="H323" s="781"/>
      <c r="I323" s="410"/>
    </row>
    <row r="324" ht="18.0" customHeight="1">
      <c r="A324" s="410"/>
      <c r="B324" s="410"/>
      <c r="C324" s="410"/>
      <c r="D324" s="410"/>
      <c r="E324" s="410"/>
      <c r="F324" s="410"/>
      <c r="G324" s="780"/>
      <c r="H324" s="781"/>
      <c r="I324" s="410"/>
    </row>
    <row r="325" ht="18.0" customHeight="1">
      <c r="A325" s="410"/>
      <c r="B325" s="410"/>
      <c r="C325" s="410"/>
      <c r="D325" s="410"/>
      <c r="E325" s="410"/>
      <c r="F325" s="410"/>
      <c r="G325" s="780"/>
      <c r="H325" s="781"/>
      <c r="I325" s="410"/>
    </row>
    <row r="326" ht="18.0" customHeight="1">
      <c r="A326" s="410"/>
      <c r="B326" s="410"/>
      <c r="C326" s="410"/>
      <c r="D326" s="410"/>
      <c r="E326" s="410"/>
      <c r="F326" s="410"/>
      <c r="G326" s="780"/>
      <c r="H326" s="781"/>
      <c r="I326" s="410"/>
    </row>
    <row r="327" ht="18.0" customHeight="1">
      <c r="A327" s="410"/>
      <c r="B327" s="410"/>
      <c r="C327" s="410"/>
      <c r="D327" s="410"/>
      <c r="E327" s="410"/>
      <c r="F327" s="410"/>
      <c r="G327" s="780"/>
      <c r="H327" s="781"/>
      <c r="I327" s="410"/>
    </row>
    <row r="328" ht="18.0" customHeight="1">
      <c r="A328" s="410"/>
      <c r="B328" s="410"/>
      <c r="C328" s="410"/>
      <c r="D328" s="410"/>
      <c r="E328" s="410"/>
      <c r="F328" s="410"/>
      <c r="G328" s="780"/>
      <c r="H328" s="781"/>
      <c r="I328" s="410"/>
    </row>
    <row r="329" ht="18.0" customHeight="1">
      <c r="A329" s="410"/>
      <c r="B329" s="410"/>
      <c r="C329" s="410"/>
      <c r="D329" s="410"/>
      <c r="E329" s="410"/>
      <c r="F329" s="410"/>
      <c r="G329" s="780"/>
      <c r="H329" s="781"/>
      <c r="I329" s="410"/>
    </row>
    <row r="330" ht="18.0" customHeight="1">
      <c r="A330" s="410"/>
      <c r="B330" s="410"/>
      <c r="C330" s="410"/>
      <c r="D330" s="410"/>
      <c r="E330" s="410"/>
      <c r="F330" s="410"/>
      <c r="G330" s="780"/>
      <c r="H330" s="781"/>
      <c r="I330" s="410"/>
    </row>
    <row r="331" ht="18.0" customHeight="1">
      <c r="A331" s="410"/>
      <c r="B331" s="410"/>
      <c r="C331" s="410"/>
      <c r="D331" s="410"/>
      <c r="E331" s="410"/>
      <c r="F331" s="410"/>
      <c r="G331" s="780"/>
      <c r="H331" s="781"/>
      <c r="I331" s="410"/>
    </row>
    <row r="332" ht="18.0" customHeight="1">
      <c r="A332" s="410"/>
      <c r="B332" s="410"/>
      <c r="C332" s="410"/>
      <c r="D332" s="410"/>
      <c r="E332" s="410"/>
      <c r="F332" s="410"/>
      <c r="G332" s="780"/>
      <c r="H332" s="781"/>
      <c r="I332" s="410"/>
    </row>
    <row r="333" ht="18.0" customHeight="1">
      <c r="A333" s="410"/>
      <c r="B333" s="410"/>
      <c r="C333" s="410"/>
      <c r="D333" s="410"/>
      <c r="E333" s="410"/>
      <c r="F333" s="410"/>
      <c r="G333" s="780"/>
      <c r="H333" s="781"/>
      <c r="I333" s="410"/>
    </row>
    <row r="334" ht="18.0" customHeight="1">
      <c r="A334" s="410"/>
      <c r="B334" s="410"/>
      <c r="C334" s="410"/>
      <c r="D334" s="410"/>
      <c r="E334" s="410"/>
      <c r="F334" s="410"/>
      <c r="G334" s="780"/>
      <c r="H334" s="781"/>
      <c r="I334" s="410"/>
    </row>
    <row r="335" ht="18.0" customHeight="1">
      <c r="A335" s="410"/>
      <c r="B335" s="410"/>
      <c r="C335" s="410"/>
      <c r="D335" s="410"/>
      <c r="E335" s="410"/>
      <c r="F335" s="410"/>
      <c r="G335" s="780"/>
      <c r="H335" s="781"/>
      <c r="I335" s="410"/>
    </row>
    <row r="336" ht="18.0" customHeight="1">
      <c r="A336" s="410"/>
      <c r="B336" s="410"/>
      <c r="C336" s="410"/>
      <c r="D336" s="410"/>
      <c r="E336" s="410"/>
      <c r="F336" s="410"/>
      <c r="G336" s="780"/>
      <c r="H336" s="781"/>
      <c r="I336" s="410"/>
    </row>
    <row r="337" ht="18.0" customHeight="1">
      <c r="A337" s="410"/>
      <c r="B337" s="410"/>
      <c r="C337" s="410"/>
      <c r="D337" s="410"/>
      <c r="E337" s="410"/>
      <c r="F337" s="410"/>
      <c r="G337" s="780"/>
      <c r="H337" s="781"/>
      <c r="I337" s="410"/>
    </row>
    <row r="338" ht="18.0" customHeight="1">
      <c r="A338" s="410"/>
      <c r="B338" s="410"/>
      <c r="C338" s="410"/>
      <c r="D338" s="410"/>
      <c r="E338" s="410"/>
      <c r="F338" s="410"/>
      <c r="G338" s="780"/>
      <c r="H338" s="781"/>
      <c r="I338" s="410"/>
    </row>
    <row r="339" ht="18.0" customHeight="1">
      <c r="A339" s="410"/>
      <c r="B339" s="410"/>
      <c r="C339" s="410"/>
      <c r="D339" s="410"/>
      <c r="E339" s="410"/>
      <c r="F339" s="410"/>
      <c r="G339" s="780"/>
      <c r="H339" s="781"/>
      <c r="I339" s="410"/>
    </row>
    <row r="340" ht="18.0" customHeight="1">
      <c r="A340" s="410"/>
      <c r="B340" s="410"/>
      <c r="C340" s="410"/>
      <c r="D340" s="410"/>
      <c r="E340" s="410"/>
      <c r="F340" s="410"/>
      <c r="G340" s="780"/>
      <c r="H340" s="781"/>
      <c r="I340" s="410"/>
    </row>
    <row r="341" ht="18.0" customHeight="1">
      <c r="A341" s="410"/>
      <c r="B341" s="410"/>
      <c r="C341" s="410"/>
      <c r="D341" s="410"/>
      <c r="E341" s="410"/>
      <c r="F341" s="410"/>
      <c r="G341" s="780"/>
      <c r="H341" s="781"/>
      <c r="I341" s="410"/>
    </row>
    <row r="342" ht="18.0" customHeight="1">
      <c r="A342" s="410"/>
      <c r="B342" s="410"/>
      <c r="C342" s="410"/>
      <c r="D342" s="410"/>
      <c r="E342" s="410"/>
      <c r="F342" s="410"/>
      <c r="G342" s="780"/>
      <c r="H342" s="781"/>
      <c r="I342" s="410"/>
    </row>
    <row r="343" ht="18.0" customHeight="1">
      <c r="A343" s="410"/>
      <c r="B343" s="410"/>
      <c r="C343" s="410"/>
      <c r="D343" s="410"/>
      <c r="E343" s="410"/>
      <c r="F343" s="410"/>
      <c r="G343" s="780"/>
      <c r="H343" s="781"/>
      <c r="I343" s="410"/>
    </row>
    <row r="344" ht="18.0" customHeight="1">
      <c r="A344" s="410"/>
      <c r="B344" s="410"/>
      <c r="C344" s="410"/>
      <c r="D344" s="410"/>
      <c r="E344" s="410"/>
      <c r="F344" s="410"/>
      <c r="G344" s="780"/>
      <c r="H344" s="781"/>
      <c r="I344" s="410"/>
    </row>
    <row r="345" ht="18.0" customHeight="1">
      <c r="A345" s="410"/>
      <c r="B345" s="410"/>
      <c r="C345" s="410"/>
      <c r="D345" s="410"/>
      <c r="E345" s="410"/>
      <c r="F345" s="410"/>
      <c r="G345" s="780"/>
      <c r="H345" s="781"/>
      <c r="I345" s="410"/>
    </row>
    <row r="346" ht="18.0" customHeight="1">
      <c r="A346" s="410"/>
      <c r="B346" s="410"/>
      <c r="C346" s="410"/>
      <c r="D346" s="410"/>
      <c r="E346" s="410"/>
      <c r="F346" s="410"/>
      <c r="G346" s="780"/>
      <c r="H346" s="781"/>
      <c r="I346" s="410"/>
    </row>
    <row r="347" ht="18.0" customHeight="1">
      <c r="A347" s="410"/>
      <c r="B347" s="410"/>
      <c r="C347" s="410"/>
      <c r="D347" s="410"/>
      <c r="E347" s="410"/>
      <c r="F347" s="410"/>
      <c r="G347" s="780"/>
      <c r="H347" s="781"/>
      <c r="I347" s="410"/>
    </row>
    <row r="348" ht="18.0" customHeight="1">
      <c r="A348" s="410"/>
      <c r="B348" s="410"/>
      <c r="C348" s="410"/>
      <c r="D348" s="410"/>
      <c r="E348" s="410"/>
      <c r="F348" s="410"/>
      <c r="G348" s="780"/>
      <c r="H348" s="781"/>
      <c r="I348" s="410"/>
    </row>
    <row r="349" ht="18.0" customHeight="1">
      <c r="A349" s="410"/>
      <c r="B349" s="410"/>
      <c r="C349" s="410"/>
      <c r="D349" s="410"/>
      <c r="E349" s="410"/>
      <c r="F349" s="410"/>
      <c r="G349" s="780"/>
      <c r="H349" s="781"/>
      <c r="I349" s="410"/>
    </row>
    <row r="350" ht="18.0" customHeight="1">
      <c r="A350" s="410"/>
      <c r="B350" s="410"/>
      <c r="C350" s="410"/>
      <c r="D350" s="410"/>
      <c r="E350" s="410"/>
      <c r="F350" s="410"/>
      <c r="G350" s="780"/>
      <c r="H350" s="781"/>
      <c r="I350" s="410"/>
    </row>
    <row r="351" ht="18.0" customHeight="1">
      <c r="A351" s="410"/>
      <c r="B351" s="410"/>
      <c r="C351" s="410"/>
      <c r="D351" s="410"/>
      <c r="E351" s="410"/>
      <c r="F351" s="410"/>
      <c r="G351" s="780"/>
      <c r="H351" s="781"/>
      <c r="I351" s="410"/>
    </row>
    <row r="352" ht="18.0" customHeight="1">
      <c r="A352" s="410"/>
      <c r="B352" s="410"/>
      <c r="C352" s="410"/>
      <c r="D352" s="410"/>
      <c r="E352" s="410"/>
      <c r="F352" s="410"/>
      <c r="G352" s="780"/>
      <c r="H352" s="781"/>
      <c r="I352" s="410"/>
    </row>
    <row r="353" ht="18.0" customHeight="1">
      <c r="A353" s="410"/>
      <c r="B353" s="410"/>
      <c r="C353" s="410"/>
      <c r="D353" s="410"/>
      <c r="E353" s="410"/>
      <c r="F353" s="410"/>
      <c r="G353" s="780"/>
      <c r="H353" s="781"/>
      <c r="I353" s="410"/>
    </row>
    <row r="354" ht="18.0" customHeight="1">
      <c r="A354" s="410"/>
      <c r="B354" s="410"/>
      <c r="C354" s="410"/>
      <c r="D354" s="410"/>
      <c r="E354" s="410"/>
      <c r="F354" s="410"/>
      <c r="G354" s="780"/>
      <c r="H354" s="781"/>
      <c r="I354" s="410"/>
    </row>
    <row r="355" ht="18.0" customHeight="1">
      <c r="A355" s="410"/>
      <c r="B355" s="410"/>
      <c r="C355" s="410"/>
      <c r="D355" s="410"/>
      <c r="E355" s="410"/>
      <c r="F355" s="410"/>
      <c r="G355" s="780"/>
      <c r="H355" s="781"/>
      <c r="I355" s="410"/>
    </row>
    <row r="356" ht="18.0" customHeight="1">
      <c r="A356" s="410"/>
      <c r="B356" s="410"/>
      <c r="C356" s="410"/>
      <c r="D356" s="410"/>
      <c r="E356" s="410"/>
      <c r="F356" s="410"/>
      <c r="G356" s="780"/>
      <c r="H356" s="781"/>
      <c r="I356" s="410"/>
    </row>
    <row r="357" ht="18.0" customHeight="1">
      <c r="A357" s="410"/>
      <c r="B357" s="410"/>
      <c r="C357" s="410"/>
      <c r="D357" s="410"/>
      <c r="E357" s="410"/>
      <c r="F357" s="410"/>
      <c r="G357" s="780"/>
      <c r="H357" s="781"/>
      <c r="I357" s="410"/>
    </row>
    <row r="358" ht="18.0" customHeight="1">
      <c r="A358" s="410"/>
      <c r="B358" s="410"/>
      <c r="C358" s="410"/>
      <c r="D358" s="410"/>
      <c r="E358" s="410"/>
      <c r="F358" s="410"/>
      <c r="G358" s="780"/>
      <c r="H358" s="781"/>
      <c r="I358" s="410"/>
    </row>
    <row r="359" ht="18.0" customHeight="1">
      <c r="A359" s="410"/>
      <c r="B359" s="410"/>
      <c r="C359" s="410"/>
      <c r="D359" s="410"/>
      <c r="E359" s="410"/>
      <c r="F359" s="410"/>
      <c r="G359" s="780"/>
      <c r="H359" s="781"/>
      <c r="I359" s="410"/>
    </row>
    <row r="360" ht="18.0" customHeight="1">
      <c r="A360" s="410"/>
      <c r="B360" s="410"/>
      <c r="C360" s="410"/>
      <c r="D360" s="410"/>
      <c r="E360" s="410"/>
      <c r="F360" s="410"/>
      <c r="G360" s="780"/>
      <c r="H360" s="781"/>
      <c r="I360" s="410"/>
    </row>
    <row r="361" ht="18.0" customHeight="1">
      <c r="A361" s="410"/>
      <c r="B361" s="410"/>
      <c r="C361" s="410"/>
      <c r="D361" s="410"/>
      <c r="E361" s="410"/>
      <c r="F361" s="410"/>
      <c r="G361" s="780"/>
      <c r="H361" s="781"/>
      <c r="I361" s="410"/>
    </row>
    <row r="362" ht="18.0" customHeight="1">
      <c r="A362" s="410"/>
      <c r="B362" s="410"/>
      <c r="C362" s="410"/>
      <c r="D362" s="410"/>
      <c r="E362" s="410"/>
      <c r="F362" s="410"/>
      <c r="G362" s="780"/>
      <c r="H362" s="781"/>
      <c r="I362" s="410"/>
    </row>
    <row r="363" ht="18.0" customHeight="1">
      <c r="A363" s="410"/>
      <c r="B363" s="410"/>
      <c r="C363" s="410"/>
      <c r="D363" s="410"/>
      <c r="E363" s="410"/>
      <c r="F363" s="410"/>
      <c r="G363" s="780"/>
      <c r="H363" s="781"/>
      <c r="I363" s="410"/>
    </row>
    <row r="364" ht="18.0" customHeight="1">
      <c r="A364" s="410"/>
      <c r="B364" s="410"/>
      <c r="C364" s="410"/>
      <c r="D364" s="410"/>
      <c r="E364" s="410"/>
      <c r="F364" s="410"/>
      <c r="G364" s="780"/>
      <c r="H364" s="781"/>
      <c r="I364" s="410"/>
    </row>
    <row r="365" ht="18.0" customHeight="1">
      <c r="A365" s="410"/>
      <c r="B365" s="410"/>
      <c r="C365" s="410"/>
      <c r="D365" s="410"/>
      <c r="E365" s="410"/>
      <c r="F365" s="410"/>
      <c r="G365" s="780"/>
      <c r="H365" s="781"/>
      <c r="I365" s="410"/>
    </row>
    <row r="366" ht="18.0" customHeight="1">
      <c r="A366" s="410"/>
      <c r="B366" s="410"/>
      <c r="C366" s="410"/>
      <c r="D366" s="410"/>
      <c r="E366" s="410"/>
      <c r="F366" s="410"/>
      <c r="G366" s="780"/>
      <c r="H366" s="781"/>
      <c r="I366" s="410"/>
    </row>
    <row r="367" ht="18.0" customHeight="1">
      <c r="A367" s="410"/>
      <c r="B367" s="410"/>
      <c r="C367" s="410"/>
      <c r="D367" s="410"/>
      <c r="E367" s="410"/>
      <c r="F367" s="410"/>
      <c r="G367" s="780"/>
      <c r="H367" s="781"/>
      <c r="I367" s="410"/>
    </row>
    <row r="368" ht="18.0" customHeight="1">
      <c r="A368" s="410"/>
      <c r="B368" s="410"/>
      <c r="C368" s="410"/>
      <c r="D368" s="410"/>
      <c r="E368" s="410"/>
      <c r="F368" s="410"/>
      <c r="G368" s="780"/>
      <c r="H368" s="781"/>
      <c r="I368" s="410"/>
    </row>
    <row r="369" ht="18.0" customHeight="1">
      <c r="A369" s="410"/>
      <c r="B369" s="410"/>
      <c r="C369" s="410"/>
      <c r="D369" s="410"/>
      <c r="E369" s="410"/>
      <c r="F369" s="410"/>
      <c r="G369" s="780"/>
      <c r="H369" s="781"/>
      <c r="I369" s="410"/>
    </row>
    <row r="370" ht="18.0" customHeight="1">
      <c r="A370" s="410"/>
      <c r="B370" s="410"/>
      <c r="C370" s="410"/>
      <c r="D370" s="410"/>
      <c r="E370" s="410"/>
      <c r="F370" s="410"/>
      <c r="G370" s="780"/>
      <c r="H370" s="781"/>
      <c r="I370" s="410"/>
    </row>
    <row r="371" ht="18.0" customHeight="1">
      <c r="A371" s="410"/>
      <c r="B371" s="410"/>
      <c r="C371" s="410"/>
      <c r="D371" s="410"/>
      <c r="E371" s="410"/>
      <c r="F371" s="410"/>
      <c r="G371" s="780"/>
      <c r="H371" s="781"/>
      <c r="I371" s="410"/>
    </row>
    <row r="372" ht="18.0" customHeight="1">
      <c r="A372" s="410"/>
      <c r="B372" s="410"/>
      <c r="C372" s="410"/>
      <c r="D372" s="410"/>
      <c r="E372" s="410"/>
      <c r="F372" s="410"/>
      <c r="G372" s="780"/>
      <c r="H372" s="781"/>
      <c r="I372" s="410"/>
    </row>
    <row r="373" ht="18.0" customHeight="1">
      <c r="A373" s="410"/>
      <c r="B373" s="410"/>
      <c r="C373" s="410"/>
      <c r="D373" s="410"/>
      <c r="E373" s="410"/>
      <c r="F373" s="410"/>
      <c r="G373" s="780"/>
      <c r="H373" s="781"/>
      <c r="I373" s="410"/>
    </row>
    <row r="374" ht="18.0" customHeight="1">
      <c r="A374" s="410"/>
      <c r="B374" s="410"/>
      <c r="C374" s="410"/>
      <c r="D374" s="410"/>
      <c r="E374" s="410"/>
      <c r="F374" s="410"/>
      <c r="G374" s="780"/>
      <c r="H374" s="781"/>
      <c r="I374" s="410"/>
    </row>
    <row r="375" ht="18.0" customHeight="1">
      <c r="A375" s="410"/>
      <c r="B375" s="410"/>
      <c r="C375" s="410"/>
      <c r="D375" s="410"/>
      <c r="E375" s="410"/>
      <c r="F375" s="410"/>
      <c r="G375" s="780"/>
      <c r="H375" s="781"/>
      <c r="I375" s="410"/>
    </row>
    <row r="376" ht="18.0" customHeight="1">
      <c r="A376" s="410"/>
      <c r="B376" s="410"/>
      <c r="C376" s="410"/>
      <c r="D376" s="410"/>
      <c r="E376" s="410"/>
      <c r="F376" s="410"/>
      <c r="G376" s="780"/>
      <c r="H376" s="781"/>
      <c r="I376" s="410"/>
    </row>
    <row r="377" ht="18.0" customHeight="1">
      <c r="A377" s="410"/>
      <c r="B377" s="410"/>
      <c r="C377" s="410"/>
      <c r="D377" s="410"/>
      <c r="E377" s="410"/>
      <c r="F377" s="410"/>
      <c r="G377" s="780"/>
      <c r="H377" s="781"/>
      <c r="I377" s="410"/>
    </row>
    <row r="378" ht="18.0" customHeight="1">
      <c r="A378" s="410"/>
      <c r="B378" s="410"/>
      <c r="C378" s="410"/>
      <c r="D378" s="410"/>
      <c r="E378" s="410"/>
      <c r="F378" s="410"/>
      <c r="G378" s="780"/>
      <c r="H378" s="781"/>
      <c r="I378" s="410"/>
    </row>
    <row r="379" ht="18.0" customHeight="1">
      <c r="A379" s="410"/>
      <c r="B379" s="410"/>
      <c r="C379" s="410"/>
      <c r="D379" s="410"/>
      <c r="E379" s="410"/>
      <c r="F379" s="410"/>
      <c r="G379" s="780"/>
      <c r="H379" s="781"/>
      <c r="I379" s="410"/>
    </row>
    <row r="380" ht="18.0" customHeight="1">
      <c r="A380" s="410"/>
      <c r="B380" s="410"/>
      <c r="C380" s="410"/>
      <c r="D380" s="410"/>
      <c r="E380" s="410"/>
      <c r="F380" s="410"/>
      <c r="G380" s="780"/>
      <c r="H380" s="781"/>
      <c r="I380" s="410"/>
    </row>
    <row r="381" ht="18.0" customHeight="1">
      <c r="A381" s="410"/>
      <c r="B381" s="410"/>
      <c r="C381" s="410"/>
      <c r="D381" s="410"/>
      <c r="E381" s="410"/>
      <c r="F381" s="410"/>
      <c r="G381" s="780"/>
      <c r="H381" s="781"/>
      <c r="I381" s="410"/>
    </row>
    <row r="382" ht="18.0" customHeight="1">
      <c r="A382" s="410"/>
      <c r="B382" s="410"/>
      <c r="C382" s="410"/>
      <c r="D382" s="410"/>
      <c r="E382" s="410"/>
      <c r="F382" s="410"/>
      <c r="G382" s="780"/>
      <c r="H382" s="781"/>
      <c r="I382" s="410"/>
    </row>
    <row r="383" ht="18.0" customHeight="1">
      <c r="A383" s="410"/>
      <c r="B383" s="410"/>
      <c r="C383" s="410"/>
      <c r="D383" s="410"/>
      <c r="E383" s="410"/>
      <c r="F383" s="410"/>
      <c r="G383" s="780"/>
      <c r="H383" s="781"/>
      <c r="I383" s="410"/>
    </row>
    <row r="384" ht="18.0" customHeight="1">
      <c r="A384" s="410"/>
      <c r="B384" s="410"/>
      <c r="C384" s="410"/>
      <c r="D384" s="410"/>
      <c r="E384" s="410"/>
      <c r="F384" s="410"/>
      <c r="G384" s="780"/>
      <c r="H384" s="781"/>
      <c r="I384" s="410"/>
    </row>
    <row r="385" ht="18.0" customHeight="1">
      <c r="A385" s="410"/>
      <c r="B385" s="410"/>
      <c r="C385" s="410"/>
      <c r="D385" s="410"/>
      <c r="E385" s="410"/>
      <c r="F385" s="410"/>
      <c r="G385" s="780"/>
      <c r="H385" s="781"/>
      <c r="I385" s="410"/>
    </row>
    <row r="386" ht="18.0" customHeight="1">
      <c r="A386" s="410"/>
      <c r="B386" s="410"/>
      <c r="C386" s="410"/>
      <c r="D386" s="410"/>
      <c r="E386" s="410"/>
      <c r="F386" s="410"/>
      <c r="G386" s="780"/>
      <c r="H386" s="781"/>
      <c r="I386" s="410"/>
    </row>
    <row r="387" ht="18.0" customHeight="1">
      <c r="A387" s="410"/>
      <c r="B387" s="410"/>
      <c r="C387" s="410"/>
      <c r="D387" s="410"/>
      <c r="E387" s="410"/>
      <c r="F387" s="410"/>
      <c r="G387" s="780"/>
      <c r="H387" s="781"/>
      <c r="I387" s="410"/>
    </row>
    <row r="388" ht="18.0" customHeight="1">
      <c r="A388" s="410"/>
      <c r="B388" s="410"/>
      <c r="C388" s="410"/>
      <c r="D388" s="410"/>
      <c r="E388" s="410"/>
      <c r="F388" s="410"/>
      <c r="G388" s="780"/>
      <c r="H388" s="781"/>
      <c r="I388" s="410"/>
    </row>
    <row r="389" ht="18.0" customHeight="1">
      <c r="A389" s="410"/>
      <c r="B389" s="410"/>
      <c r="C389" s="410"/>
      <c r="D389" s="410"/>
      <c r="E389" s="410"/>
      <c r="F389" s="410"/>
      <c r="G389" s="780"/>
      <c r="H389" s="781"/>
      <c r="I389" s="410"/>
    </row>
    <row r="390" ht="18.0" customHeight="1">
      <c r="A390" s="410"/>
      <c r="B390" s="410"/>
      <c r="C390" s="410"/>
      <c r="D390" s="410"/>
      <c r="E390" s="410"/>
      <c r="F390" s="410"/>
      <c r="G390" s="780"/>
      <c r="H390" s="781"/>
      <c r="I390" s="410"/>
    </row>
    <row r="391" ht="18.0" customHeight="1">
      <c r="A391" s="410"/>
      <c r="B391" s="410"/>
      <c r="C391" s="410"/>
      <c r="D391" s="410"/>
      <c r="E391" s="410"/>
      <c r="F391" s="410"/>
      <c r="G391" s="780"/>
      <c r="H391" s="781"/>
      <c r="I391" s="410"/>
    </row>
    <row r="392" ht="18.0" customHeight="1">
      <c r="A392" s="410"/>
      <c r="B392" s="410"/>
      <c r="C392" s="410"/>
      <c r="D392" s="410"/>
      <c r="E392" s="410"/>
      <c r="F392" s="410"/>
      <c r="G392" s="780"/>
      <c r="H392" s="781"/>
      <c r="I392" s="410"/>
    </row>
    <row r="393" ht="18.0" customHeight="1">
      <c r="A393" s="410"/>
      <c r="B393" s="410"/>
      <c r="C393" s="410"/>
      <c r="D393" s="410"/>
      <c r="E393" s="410"/>
      <c r="F393" s="410"/>
      <c r="G393" s="780"/>
      <c r="H393" s="781"/>
      <c r="I393" s="410"/>
    </row>
    <row r="394" ht="18.0" customHeight="1">
      <c r="A394" s="410"/>
      <c r="B394" s="410"/>
      <c r="C394" s="410"/>
      <c r="D394" s="410"/>
      <c r="E394" s="410"/>
      <c r="F394" s="410"/>
      <c r="G394" s="780"/>
      <c r="H394" s="781"/>
      <c r="I394" s="410"/>
    </row>
    <row r="395" ht="18.0" customHeight="1">
      <c r="A395" s="410"/>
      <c r="B395" s="410"/>
      <c r="C395" s="410"/>
      <c r="D395" s="410"/>
      <c r="E395" s="410"/>
      <c r="F395" s="410"/>
      <c r="G395" s="780"/>
      <c r="H395" s="781"/>
      <c r="I395" s="410"/>
    </row>
    <row r="396" ht="18.0" customHeight="1">
      <c r="A396" s="410"/>
      <c r="B396" s="410"/>
      <c r="C396" s="410"/>
      <c r="D396" s="410"/>
      <c r="E396" s="410"/>
      <c r="F396" s="410"/>
      <c r="G396" s="780"/>
      <c r="H396" s="781"/>
      <c r="I396" s="410"/>
    </row>
    <row r="397" ht="18.0" customHeight="1">
      <c r="A397" s="410"/>
      <c r="B397" s="410"/>
      <c r="C397" s="410"/>
      <c r="D397" s="410"/>
      <c r="E397" s="410"/>
      <c r="F397" s="410"/>
      <c r="G397" s="780"/>
      <c r="H397" s="781"/>
      <c r="I397" s="410"/>
    </row>
    <row r="398" ht="18.0" customHeight="1">
      <c r="A398" s="410"/>
      <c r="B398" s="410"/>
      <c r="C398" s="410"/>
      <c r="D398" s="410"/>
      <c r="E398" s="410"/>
      <c r="F398" s="410"/>
      <c r="G398" s="780"/>
      <c r="H398" s="781"/>
      <c r="I398" s="410"/>
    </row>
    <row r="399" ht="18.0" customHeight="1">
      <c r="A399" s="410"/>
      <c r="B399" s="410"/>
      <c r="C399" s="410"/>
      <c r="D399" s="410"/>
      <c r="E399" s="410"/>
      <c r="F399" s="410"/>
      <c r="G399" s="780"/>
      <c r="H399" s="781"/>
      <c r="I399" s="410"/>
    </row>
    <row r="400" ht="18.0" customHeight="1">
      <c r="A400" s="410"/>
      <c r="B400" s="410"/>
      <c r="C400" s="410"/>
      <c r="D400" s="410"/>
      <c r="E400" s="410"/>
      <c r="F400" s="410"/>
      <c r="G400" s="780"/>
      <c r="H400" s="781"/>
      <c r="I400" s="410"/>
    </row>
    <row r="401" ht="18.0" customHeight="1">
      <c r="A401" s="410"/>
      <c r="B401" s="410"/>
      <c r="C401" s="410"/>
      <c r="D401" s="410"/>
      <c r="E401" s="410"/>
      <c r="F401" s="410"/>
      <c r="G401" s="780"/>
      <c r="H401" s="781"/>
      <c r="I401" s="410"/>
    </row>
    <row r="402" ht="18.0" customHeight="1">
      <c r="A402" s="410"/>
      <c r="B402" s="410"/>
      <c r="C402" s="410"/>
      <c r="D402" s="410"/>
      <c r="E402" s="410"/>
      <c r="F402" s="410"/>
      <c r="G402" s="780"/>
      <c r="H402" s="781"/>
      <c r="I402" s="410"/>
    </row>
    <row r="403" ht="18.0" customHeight="1">
      <c r="A403" s="410"/>
      <c r="B403" s="410"/>
      <c r="C403" s="410"/>
      <c r="D403" s="410"/>
      <c r="E403" s="410"/>
      <c r="F403" s="410"/>
      <c r="G403" s="780"/>
      <c r="H403" s="781"/>
      <c r="I403" s="410"/>
    </row>
    <row r="404" ht="18.0" customHeight="1">
      <c r="A404" s="410"/>
      <c r="B404" s="410"/>
      <c r="C404" s="410"/>
      <c r="D404" s="410"/>
      <c r="E404" s="410"/>
      <c r="F404" s="410"/>
      <c r="G404" s="780"/>
      <c r="H404" s="781"/>
      <c r="I404" s="410"/>
    </row>
    <row r="405" ht="18.0" customHeight="1">
      <c r="A405" s="410"/>
      <c r="B405" s="410"/>
      <c r="C405" s="410"/>
      <c r="D405" s="410"/>
      <c r="E405" s="410"/>
      <c r="F405" s="410"/>
      <c r="G405" s="780"/>
      <c r="H405" s="781"/>
      <c r="I405" s="410"/>
    </row>
    <row r="406" ht="18.0" customHeight="1">
      <c r="A406" s="410"/>
      <c r="B406" s="410"/>
      <c r="C406" s="410"/>
      <c r="D406" s="410"/>
      <c r="E406" s="410"/>
      <c r="F406" s="410"/>
      <c r="G406" s="780"/>
      <c r="H406" s="781"/>
      <c r="I406" s="410"/>
    </row>
    <row r="407" ht="18.0" customHeight="1">
      <c r="A407" s="410"/>
      <c r="B407" s="410"/>
      <c r="C407" s="410"/>
      <c r="D407" s="410"/>
      <c r="E407" s="410"/>
      <c r="F407" s="410"/>
      <c r="G407" s="780"/>
      <c r="H407" s="781"/>
      <c r="I407" s="410"/>
    </row>
    <row r="408" ht="18.0" customHeight="1">
      <c r="A408" s="410"/>
      <c r="B408" s="410"/>
      <c r="C408" s="410"/>
      <c r="D408" s="410"/>
      <c r="E408" s="410"/>
      <c r="F408" s="410"/>
      <c r="G408" s="780"/>
      <c r="H408" s="781"/>
      <c r="I408" s="410"/>
    </row>
    <row r="409" ht="18.0" customHeight="1">
      <c r="A409" s="410"/>
      <c r="B409" s="410"/>
      <c r="C409" s="410"/>
      <c r="D409" s="410"/>
      <c r="E409" s="410"/>
      <c r="F409" s="410"/>
      <c r="G409" s="780"/>
      <c r="H409" s="781"/>
      <c r="I409" s="410"/>
    </row>
    <row r="410" ht="18.0" customHeight="1">
      <c r="A410" s="410"/>
      <c r="B410" s="410"/>
      <c r="C410" s="410"/>
      <c r="D410" s="410"/>
      <c r="E410" s="410"/>
      <c r="F410" s="410"/>
      <c r="G410" s="780"/>
      <c r="H410" s="781"/>
      <c r="I410" s="410"/>
    </row>
    <row r="411" ht="18.0" customHeight="1">
      <c r="A411" s="410"/>
      <c r="B411" s="410"/>
      <c r="C411" s="410"/>
      <c r="D411" s="410"/>
      <c r="E411" s="410"/>
      <c r="F411" s="410"/>
      <c r="G411" s="780"/>
      <c r="H411" s="781"/>
      <c r="I411" s="410"/>
    </row>
    <row r="412" ht="18.0" customHeight="1">
      <c r="A412" s="410"/>
      <c r="B412" s="410"/>
      <c r="C412" s="410"/>
      <c r="D412" s="410"/>
      <c r="E412" s="410"/>
      <c r="F412" s="410"/>
      <c r="G412" s="780"/>
      <c r="H412" s="781"/>
      <c r="I412" s="410"/>
    </row>
    <row r="413" ht="18.0" customHeight="1">
      <c r="A413" s="410"/>
      <c r="B413" s="410"/>
      <c r="C413" s="410"/>
      <c r="D413" s="410"/>
      <c r="E413" s="410"/>
      <c r="F413" s="410"/>
      <c r="G413" s="780"/>
      <c r="H413" s="781"/>
      <c r="I413" s="410"/>
    </row>
    <row r="414" ht="18.0" customHeight="1">
      <c r="A414" s="410"/>
      <c r="B414" s="410"/>
      <c r="C414" s="410"/>
      <c r="D414" s="410"/>
      <c r="E414" s="410"/>
      <c r="F414" s="410"/>
      <c r="G414" s="780"/>
      <c r="H414" s="781"/>
      <c r="I414" s="410"/>
    </row>
    <row r="415" ht="18.0" customHeight="1">
      <c r="A415" s="410"/>
      <c r="B415" s="410"/>
      <c r="C415" s="410"/>
      <c r="D415" s="410"/>
      <c r="E415" s="410"/>
      <c r="F415" s="410"/>
      <c r="G415" s="780"/>
      <c r="H415" s="781"/>
      <c r="I415" s="410"/>
    </row>
    <row r="416" ht="18.0" customHeight="1">
      <c r="A416" s="410"/>
      <c r="B416" s="410"/>
      <c r="C416" s="410"/>
      <c r="D416" s="410"/>
      <c r="E416" s="410"/>
      <c r="F416" s="410"/>
      <c r="G416" s="780"/>
      <c r="H416" s="781"/>
      <c r="I416" s="410"/>
    </row>
    <row r="417" ht="18.0" customHeight="1">
      <c r="A417" s="410"/>
      <c r="B417" s="410"/>
      <c r="C417" s="410"/>
      <c r="D417" s="410"/>
      <c r="E417" s="410"/>
      <c r="F417" s="410"/>
      <c r="G417" s="780"/>
      <c r="H417" s="781"/>
      <c r="I417" s="410"/>
    </row>
    <row r="418" ht="18.0" customHeight="1">
      <c r="A418" s="410"/>
      <c r="B418" s="410"/>
      <c r="C418" s="410"/>
      <c r="D418" s="410"/>
      <c r="E418" s="410"/>
      <c r="F418" s="410"/>
      <c r="G418" s="780"/>
      <c r="H418" s="781"/>
      <c r="I418" s="410"/>
    </row>
    <row r="419" ht="18.0" customHeight="1">
      <c r="A419" s="410"/>
      <c r="B419" s="410"/>
      <c r="C419" s="410"/>
      <c r="D419" s="410"/>
      <c r="E419" s="410"/>
      <c r="F419" s="410"/>
      <c r="G419" s="780"/>
      <c r="H419" s="781"/>
      <c r="I419" s="410"/>
    </row>
    <row r="420" ht="18.0" customHeight="1">
      <c r="A420" s="410"/>
      <c r="B420" s="410"/>
      <c r="C420" s="410"/>
      <c r="D420" s="410"/>
      <c r="E420" s="410"/>
      <c r="F420" s="410"/>
      <c r="G420" s="780"/>
      <c r="H420" s="781"/>
      <c r="I420" s="410"/>
    </row>
    <row r="421" ht="18.0" customHeight="1">
      <c r="A421" s="410"/>
      <c r="B421" s="410"/>
      <c r="C421" s="410"/>
      <c r="D421" s="410"/>
      <c r="E421" s="410"/>
      <c r="F421" s="410"/>
      <c r="G421" s="780"/>
      <c r="H421" s="781"/>
      <c r="I421" s="410"/>
    </row>
    <row r="422" ht="18.0" customHeight="1">
      <c r="A422" s="410"/>
      <c r="B422" s="410"/>
      <c r="C422" s="410"/>
      <c r="D422" s="410"/>
      <c r="E422" s="410"/>
      <c r="F422" s="410"/>
      <c r="G422" s="780"/>
      <c r="H422" s="781"/>
      <c r="I422" s="410"/>
    </row>
    <row r="423" ht="18.0" customHeight="1">
      <c r="A423" s="410"/>
      <c r="B423" s="410"/>
      <c r="C423" s="410"/>
      <c r="D423" s="410"/>
      <c r="E423" s="410"/>
      <c r="F423" s="410"/>
      <c r="G423" s="780"/>
      <c r="H423" s="781"/>
      <c r="I423" s="410"/>
    </row>
    <row r="424" ht="18.0" customHeight="1">
      <c r="A424" s="410"/>
      <c r="B424" s="410"/>
      <c r="C424" s="410"/>
      <c r="D424" s="410"/>
      <c r="E424" s="410"/>
      <c r="F424" s="410"/>
      <c r="G424" s="780"/>
      <c r="H424" s="781"/>
      <c r="I424" s="410"/>
    </row>
    <row r="425" ht="18.0" customHeight="1">
      <c r="A425" s="410"/>
      <c r="B425" s="410"/>
      <c r="C425" s="410"/>
      <c r="D425" s="410"/>
      <c r="E425" s="410"/>
      <c r="F425" s="410"/>
      <c r="G425" s="780"/>
      <c r="H425" s="781"/>
      <c r="I425" s="410"/>
    </row>
    <row r="426" ht="18.0" customHeight="1">
      <c r="A426" s="410"/>
      <c r="B426" s="410"/>
      <c r="C426" s="410"/>
      <c r="D426" s="410"/>
      <c r="E426" s="410"/>
      <c r="F426" s="410"/>
      <c r="G426" s="780"/>
      <c r="H426" s="781"/>
      <c r="I426" s="410"/>
    </row>
    <row r="427" ht="18.0" customHeight="1">
      <c r="A427" s="410"/>
      <c r="B427" s="410"/>
      <c r="C427" s="410"/>
      <c r="D427" s="410"/>
      <c r="E427" s="410"/>
      <c r="F427" s="410"/>
      <c r="G427" s="780"/>
      <c r="H427" s="781"/>
      <c r="I427" s="410"/>
    </row>
    <row r="428" ht="18.0" customHeight="1">
      <c r="A428" s="410"/>
      <c r="B428" s="410"/>
      <c r="C428" s="410"/>
      <c r="D428" s="410"/>
      <c r="E428" s="410"/>
      <c r="F428" s="410"/>
      <c r="G428" s="780"/>
      <c r="H428" s="781"/>
      <c r="I428" s="410"/>
    </row>
    <row r="429" ht="18.0" customHeight="1">
      <c r="A429" s="410"/>
      <c r="B429" s="410"/>
      <c r="C429" s="410"/>
      <c r="D429" s="410"/>
      <c r="E429" s="410"/>
      <c r="F429" s="410"/>
      <c r="G429" s="780"/>
      <c r="H429" s="781"/>
      <c r="I429" s="410"/>
    </row>
    <row r="430" ht="18.0" customHeight="1">
      <c r="A430" s="410"/>
      <c r="B430" s="410"/>
      <c r="C430" s="410"/>
      <c r="D430" s="410"/>
      <c r="E430" s="410"/>
      <c r="F430" s="410"/>
      <c r="G430" s="780"/>
      <c r="H430" s="781"/>
      <c r="I430" s="410"/>
    </row>
    <row r="431" ht="18.0" customHeight="1">
      <c r="A431" s="410"/>
      <c r="B431" s="410"/>
      <c r="C431" s="410"/>
      <c r="D431" s="410"/>
      <c r="E431" s="410"/>
      <c r="F431" s="410"/>
      <c r="G431" s="780"/>
      <c r="H431" s="781"/>
      <c r="I431" s="410"/>
    </row>
    <row r="432" ht="18.0" customHeight="1">
      <c r="A432" s="410"/>
      <c r="B432" s="410"/>
      <c r="C432" s="410"/>
      <c r="D432" s="410"/>
      <c r="E432" s="410"/>
      <c r="F432" s="410"/>
      <c r="G432" s="780"/>
      <c r="H432" s="781"/>
      <c r="I432" s="410"/>
    </row>
    <row r="433" ht="18.0" customHeight="1">
      <c r="A433" s="410"/>
      <c r="B433" s="410"/>
      <c r="C433" s="410"/>
      <c r="D433" s="410"/>
      <c r="E433" s="410"/>
      <c r="F433" s="410"/>
      <c r="G433" s="780"/>
      <c r="H433" s="781"/>
      <c r="I433" s="410"/>
    </row>
    <row r="434" ht="18.0" customHeight="1">
      <c r="A434" s="410"/>
      <c r="B434" s="410"/>
      <c r="C434" s="410"/>
      <c r="D434" s="410"/>
      <c r="E434" s="410"/>
      <c r="F434" s="410"/>
      <c r="G434" s="780"/>
      <c r="H434" s="781"/>
      <c r="I434" s="410"/>
    </row>
    <row r="435" ht="18.0" customHeight="1">
      <c r="A435" s="410"/>
      <c r="B435" s="410"/>
      <c r="C435" s="410"/>
      <c r="D435" s="410"/>
      <c r="E435" s="410"/>
      <c r="F435" s="410"/>
      <c r="G435" s="780"/>
      <c r="H435" s="781"/>
      <c r="I435" s="410"/>
    </row>
    <row r="436" ht="18.0" customHeight="1">
      <c r="A436" s="410"/>
      <c r="B436" s="410"/>
      <c r="C436" s="410"/>
      <c r="D436" s="410"/>
      <c r="E436" s="410"/>
      <c r="F436" s="410"/>
      <c r="G436" s="780"/>
      <c r="H436" s="781"/>
      <c r="I436" s="410"/>
    </row>
    <row r="437" ht="18.0" customHeight="1">
      <c r="A437" s="410"/>
      <c r="B437" s="410"/>
      <c r="C437" s="410"/>
      <c r="D437" s="410"/>
      <c r="E437" s="410"/>
      <c r="F437" s="410"/>
      <c r="G437" s="780"/>
      <c r="H437" s="781"/>
      <c r="I437" s="410"/>
    </row>
    <row r="438" ht="18.0" customHeight="1">
      <c r="A438" s="410"/>
      <c r="B438" s="410"/>
      <c r="C438" s="410"/>
      <c r="D438" s="410"/>
      <c r="E438" s="410"/>
      <c r="F438" s="410"/>
      <c r="G438" s="780"/>
      <c r="H438" s="781"/>
      <c r="I438" s="410"/>
    </row>
    <row r="439" ht="18.0" customHeight="1">
      <c r="A439" s="410"/>
      <c r="B439" s="410"/>
      <c r="C439" s="410"/>
      <c r="D439" s="410"/>
      <c r="E439" s="410"/>
      <c r="F439" s="410"/>
      <c r="G439" s="780"/>
      <c r="H439" s="781"/>
      <c r="I439" s="410"/>
    </row>
    <row r="440" ht="18.0" customHeight="1">
      <c r="A440" s="410"/>
      <c r="B440" s="410"/>
      <c r="C440" s="410"/>
      <c r="D440" s="410"/>
      <c r="E440" s="410"/>
      <c r="F440" s="410"/>
      <c r="G440" s="780"/>
      <c r="H440" s="781"/>
      <c r="I440" s="410"/>
    </row>
    <row r="441" ht="18.0" customHeight="1">
      <c r="A441" s="410"/>
      <c r="B441" s="410"/>
      <c r="C441" s="410"/>
      <c r="D441" s="410"/>
      <c r="E441" s="410"/>
      <c r="F441" s="410"/>
      <c r="G441" s="780"/>
      <c r="H441" s="781"/>
      <c r="I441" s="410"/>
    </row>
    <row r="442" ht="18.0" customHeight="1">
      <c r="A442" s="410"/>
      <c r="B442" s="410"/>
      <c r="C442" s="410"/>
      <c r="D442" s="410"/>
      <c r="E442" s="410"/>
      <c r="F442" s="410"/>
      <c r="G442" s="780"/>
      <c r="H442" s="781"/>
      <c r="I442" s="410"/>
    </row>
    <row r="443" ht="18.0" customHeight="1">
      <c r="A443" s="410"/>
      <c r="B443" s="410"/>
      <c r="C443" s="410"/>
      <c r="D443" s="410"/>
      <c r="E443" s="410"/>
      <c r="F443" s="410"/>
      <c r="G443" s="780"/>
      <c r="H443" s="781"/>
      <c r="I443" s="410"/>
    </row>
    <row r="444" ht="18.0" customHeight="1">
      <c r="A444" s="410"/>
      <c r="B444" s="410"/>
      <c r="C444" s="410"/>
      <c r="D444" s="410"/>
      <c r="E444" s="410"/>
      <c r="F444" s="410"/>
      <c r="G444" s="780"/>
      <c r="H444" s="781"/>
      <c r="I444" s="410"/>
    </row>
    <row r="445" ht="18.0" customHeight="1">
      <c r="A445" s="410"/>
      <c r="B445" s="410"/>
      <c r="C445" s="410"/>
      <c r="D445" s="410"/>
      <c r="E445" s="410"/>
      <c r="F445" s="410"/>
      <c r="G445" s="780"/>
      <c r="H445" s="781"/>
      <c r="I445" s="410"/>
    </row>
    <row r="446" ht="18.0" customHeight="1">
      <c r="A446" s="410"/>
      <c r="B446" s="410"/>
      <c r="C446" s="410"/>
      <c r="D446" s="410"/>
      <c r="E446" s="410"/>
      <c r="F446" s="410"/>
      <c r="G446" s="780"/>
      <c r="H446" s="781"/>
      <c r="I446" s="410"/>
    </row>
    <row r="447" ht="18.0" customHeight="1">
      <c r="A447" s="410"/>
      <c r="B447" s="410"/>
      <c r="C447" s="410"/>
      <c r="D447" s="410"/>
      <c r="E447" s="410"/>
      <c r="F447" s="410"/>
      <c r="G447" s="780"/>
      <c r="H447" s="781"/>
      <c r="I447" s="410"/>
    </row>
    <row r="448" ht="18.0" customHeight="1">
      <c r="A448" s="410"/>
      <c r="B448" s="410"/>
      <c r="C448" s="410"/>
      <c r="D448" s="410"/>
      <c r="E448" s="410"/>
      <c r="F448" s="410"/>
      <c r="G448" s="780"/>
      <c r="H448" s="781"/>
      <c r="I448" s="410"/>
    </row>
    <row r="449" ht="18.0" customHeight="1">
      <c r="A449" s="410"/>
      <c r="B449" s="410"/>
      <c r="C449" s="410"/>
      <c r="D449" s="410"/>
      <c r="E449" s="410"/>
      <c r="F449" s="410"/>
      <c r="G449" s="780"/>
      <c r="H449" s="781"/>
      <c r="I449" s="410"/>
    </row>
    <row r="450" ht="18.0" customHeight="1">
      <c r="A450" s="410"/>
      <c r="B450" s="410"/>
      <c r="C450" s="410"/>
      <c r="D450" s="410"/>
      <c r="E450" s="410"/>
      <c r="F450" s="410"/>
      <c r="G450" s="780"/>
      <c r="H450" s="781"/>
      <c r="I450" s="410"/>
    </row>
    <row r="451" ht="18.0" customHeight="1">
      <c r="A451" s="410"/>
      <c r="B451" s="410"/>
      <c r="C451" s="410"/>
      <c r="D451" s="410"/>
      <c r="E451" s="410"/>
      <c r="F451" s="410"/>
      <c r="G451" s="780"/>
      <c r="H451" s="781"/>
      <c r="I451" s="410"/>
    </row>
    <row r="452" ht="18.0" customHeight="1">
      <c r="A452" s="410"/>
      <c r="B452" s="410"/>
      <c r="C452" s="410"/>
      <c r="D452" s="410"/>
      <c r="E452" s="410"/>
      <c r="F452" s="410"/>
      <c r="G452" s="780"/>
      <c r="H452" s="781"/>
      <c r="I452" s="410"/>
    </row>
    <row r="453" ht="18.0" customHeight="1">
      <c r="A453" s="410"/>
      <c r="B453" s="410"/>
      <c r="C453" s="410"/>
      <c r="D453" s="410"/>
      <c r="E453" s="410"/>
      <c r="F453" s="410"/>
      <c r="G453" s="780"/>
      <c r="H453" s="781"/>
      <c r="I453" s="410"/>
    </row>
    <row r="454" ht="18.0" customHeight="1">
      <c r="A454" s="410"/>
      <c r="B454" s="410"/>
      <c r="C454" s="410"/>
      <c r="D454" s="410"/>
      <c r="E454" s="410"/>
      <c r="F454" s="410"/>
      <c r="G454" s="780"/>
      <c r="H454" s="781"/>
      <c r="I454" s="410"/>
    </row>
    <row r="455" ht="18.0" customHeight="1">
      <c r="A455" s="410"/>
      <c r="B455" s="410"/>
      <c r="C455" s="410"/>
      <c r="D455" s="410"/>
      <c r="E455" s="410"/>
      <c r="F455" s="410"/>
      <c r="G455" s="780"/>
      <c r="H455" s="781"/>
      <c r="I455" s="410"/>
    </row>
    <row r="456" ht="18.0" customHeight="1">
      <c r="A456" s="410"/>
      <c r="B456" s="410"/>
      <c r="C456" s="410"/>
      <c r="D456" s="410"/>
      <c r="E456" s="410"/>
      <c r="F456" s="410"/>
      <c r="G456" s="780"/>
      <c r="H456" s="781"/>
      <c r="I456" s="410"/>
    </row>
    <row r="457" ht="18.0" customHeight="1">
      <c r="A457" s="410"/>
      <c r="B457" s="410"/>
      <c r="C457" s="410"/>
      <c r="D457" s="410"/>
      <c r="E457" s="410"/>
      <c r="F457" s="410"/>
      <c r="G457" s="780"/>
      <c r="H457" s="781"/>
      <c r="I457" s="410"/>
    </row>
    <row r="458" ht="18.0" customHeight="1">
      <c r="A458" s="410"/>
      <c r="B458" s="410"/>
      <c r="C458" s="410"/>
      <c r="D458" s="410"/>
      <c r="E458" s="410"/>
      <c r="F458" s="410"/>
      <c r="G458" s="780"/>
      <c r="H458" s="781"/>
      <c r="I458" s="410"/>
    </row>
    <row r="459" ht="18.0" customHeight="1">
      <c r="A459" s="410"/>
      <c r="B459" s="410"/>
      <c r="C459" s="410"/>
      <c r="D459" s="410"/>
      <c r="E459" s="410"/>
      <c r="F459" s="410"/>
      <c r="G459" s="780"/>
      <c r="H459" s="781"/>
      <c r="I459" s="410"/>
    </row>
    <row r="460" ht="18.0" customHeight="1">
      <c r="A460" s="410"/>
      <c r="B460" s="410"/>
      <c r="C460" s="410"/>
      <c r="D460" s="410"/>
      <c r="E460" s="410"/>
      <c r="F460" s="410"/>
      <c r="G460" s="780"/>
      <c r="H460" s="781"/>
      <c r="I460" s="410"/>
    </row>
    <row r="461" ht="18.0" customHeight="1">
      <c r="A461" s="410"/>
      <c r="B461" s="410"/>
      <c r="C461" s="410"/>
      <c r="D461" s="410"/>
      <c r="E461" s="410"/>
      <c r="F461" s="410"/>
      <c r="G461" s="780"/>
      <c r="H461" s="781"/>
      <c r="I461" s="410"/>
    </row>
    <row r="462" ht="18.0" customHeight="1">
      <c r="A462" s="410"/>
      <c r="B462" s="410"/>
      <c r="C462" s="410"/>
      <c r="D462" s="410"/>
      <c r="E462" s="410"/>
      <c r="F462" s="410"/>
      <c r="G462" s="780"/>
      <c r="H462" s="781"/>
      <c r="I462" s="410"/>
    </row>
    <row r="463" ht="18.0" customHeight="1">
      <c r="A463" s="410"/>
      <c r="B463" s="410"/>
      <c r="C463" s="410"/>
      <c r="D463" s="410"/>
      <c r="E463" s="410"/>
      <c r="F463" s="410"/>
      <c r="G463" s="780"/>
      <c r="H463" s="781"/>
      <c r="I463" s="410"/>
    </row>
    <row r="464" ht="18.0" customHeight="1">
      <c r="A464" s="410"/>
      <c r="B464" s="410"/>
      <c r="C464" s="410"/>
      <c r="D464" s="410"/>
      <c r="E464" s="410"/>
      <c r="F464" s="410"/>
      <c r="G464" s="780"/>
      <c r="H464" s="781"/>
      <c r="I464" s="410"/>
    </row>
    <row r="465" ht="18.0" customHeight="1">
      <c r="A465" s="410"/>
      <c r="B465" s="410"/>
      <c r="C465" s="410"/>
      <c r="D465" s="410"/>
      <c r="E465" s="410"/>
      <c r="F465" s="410"/>
      <c r="G465" s="780"/>
      <c r="H465" s="781"/>
      <c r="I465" s="410"/>
    </row>
    <row r="466" ht="18.0" customHeight="1">
      <c r="A466" s="410"/>
      <c r="B466" s="410"/>
      <c r="C466" s="410"/>
      <c r="D466" s="410"/>
      <c r="E466" s="410"/>
      <c r="F466" s="410"/>
      <c r="G466" s="780"/>
      <c r="H466" s="781"/>
      <c r="I466" s="410"/>
    </row>
    <row r="467" ht="18.0" customHeight="1">
      <c r="A467" s="410"/>
      <c r="B467" s="410"/>
      <c r="C467" s="410"/>
      <c r="D467" s="410"/>
      <c r="E467" s="410"/>
      <c r="F467" s="410"/>
      <c r="G467" s="780"/>
      <c r="H467" s="781"/>
      <c r="I467" s="410"/>
    </row>
    <row r="468" ht="18.0" customHeight="1">
      <c r="A468" s="410"/>
      <c r="B468" s="410"/>
      <c r="C468" s="410"/>
      <c r="D468" s="410"/>
      <c r="E468" s="410"/>
      <c r="F468" s="410"/>
      <c r="G468" s="780"/>
      <c r="H468" s="781"/>
      <c r="I468" s="410"/>
    </row>
    <row r="469" ht="18.0" customHeight="1">
      <c r="A469" s="410"/>
      <c r="B469" s="410"/>
      <c r="C469" s="410"/>
      <c r="D469" s="410"/>
      <c r="E469" s="410"/>
      <c r="F469" s="410"/>
      <c r="G469" s="780"/>
      <c r="H469" s="781"/>
      <c r="I469" s="410"/>
    </row>
    <row r="470" ht="18.0" customHeight="1">
      <c r="A470" s="410"/>
      <c r="B470" s="410"/>
      <c r="C470" s="410"/>
      <c r="D470" s="410"/>
      <c r="E470" s="410"/>
      <c r="F470" s="410"/>
      <c r="G470" s="780"/>
      <c r="H470" s="781"/>
      <c r="I470" s="410"/>
    </row>
    <row r="471" ht="18.0" customHeight="1">
      <c r="A471" s="410"/>
      <c r="B471" s="410"/>
      <c r="C471" s="410"/>
      <c r="D471" s="410"/>
      <c r="E471" s="410"/>
      <c r="F471" s="410"/>
      <c r="G471" s="780"/>
      <c r="H471" s="781"/>
      <c r="I471" s="410"/>
    </row>
    <row r="472" ht="18.0" customHeight="1">
      <c r="A472" s="410"/>
      <c r="B472" s="410"/>
      <c r="C472" s="410"/>
      <c r="D472" s="410"/>
      <c r="E472" s="410"/>
      <c r="F472" s="410"/>
      <c r="G472" s="780"/>
      <c r="H472" s="781"/>
      <c r="I472" s="410"/>
    </row>
    <row r="473" ht="18.0" customHeight="1">
      <c r="A473" s="410"/>
      <c r="B473" s="410"/>
      <c r="C473" s="410"/>
      <c r="D473" s="410"/>
      <c r="E473" s="410"/>
      <c r="F473" s="410"/>
      <c r="G473" s="780"/>
      <c r="H473" s="781"/>
      <c r="I473" s="410"/>
    </row>
    <row r="474" ht="18.0" customHeight="1">
      <c r="A474" s="410"/>
      <c r="B474" s="410"/>
      <c r="C474" s="410"/>
      <c r="D474" s="410"/>
      <c r="E474" s="410"/>
      <c r="F474" s="410"/>
      <c r="G474" s="780"/>
      <c r="H474" s="781"/>
      <c r="I474" s="410"/>
    </row>
    <row r="475" ht="18.0" customHeight="1">
      <c r="A475" s="410"/>
      <c r="B475" s="410"/>
      <c r="C475" s="410"/>
      <c r="D475" s="410"/>
      <c r="E475" s="410"/>
      <c r="F475" s="410"/>
      <c r="G475" s="780"/>
      <c r="H475" s="781"/>
      <c r="I475" s="410"/>
    </row>
    <row r="476" ht="18.0" customHeight="1">
      <c r="A476" s="410"/>
      <c r="B476" s="410"/>
      <c r="C476" s="410"/>
      <c r="D476" s="410"/>
      <c r="E476" s="410"/>
      <c r="F476" s="410"/>
      <c r="G476" s="780"/>
      <c r="H476" s="781"/>
      <c r="I476" s="410"/>
    </row>
    <row r="477" ht="18.0" customHeight="1">
      <c r="A477" s="410"/>
      <c r="B477" s="410"/>
      <c r="C477" s="410"/>
      <c r="D477" s="410"/>
      <c r="E477" s="410"/>
      <c r="F477" s="410"/>
      <c r="G477" s="780"/>
      <c r="H477" s="781"/>
      <c r="I477" s="410"/>
    </row>
    <row r="478" ht="18.0" customHeight="1">
      <c r="A478" s="410"/>
      <c r="B478" s="410"/>
      <c r="C478" s="410"/>
      <c r="D478" s="410"/>
      <c r="E478" s="410"/>
      <c r="F478" s="410"/>
      <c r="G478" s="780"/>
      <c r="H478" s="781"/>
      <c r="I478" s="410"/>
    </row>
    <row r="479" ht="18.0" customHeight="1">
      <c r="A479" s="410"/>
      <c r="B479" s="410"/>
      <c r="C479" s="410"/>
      <c r="D479" s="410"/>
      <c r="E479" s="410"/>
      <c r="F479" s="410"/>
      <c r="G479" s="780"/>
      <c r="H479" s="781"/>
      <c r="I479" s="410"/>
    </row>
    <row r="480" ht="18.0" customHeight="1">
      <c r="A480" s="410"/>
      <c r="B480" s="410"/>
      <c r="C480" s="410"/>
      <c r="D480" s="410"/>
      <c r="E480" s="410"/>
      <c r="F480" s="410"/>
      <c r="G480" s="780"/>
      <c r="H480" s="781"/>
      <c r="I480" s="410"/>
    </row>
    <row r="481" ht="18.0" customHeight="1">
      <c r="A481" s="410"/>
      <c r="B481" s="410"/>
      <c r="C481" s="410"/>
      <c r="D481" s="410"/>
      <c r="E481" s="410"/>
      <c r="F481" s="410"/>
      <c r="G481" s="780"/>
      <c r="H481" s="781"/>
      <c r="I481" s="410"/>
    </row>
    <row r="482" ht="18.0" customHeight="1">
      <c r="A482" s="410"/>
      <c r="B482" s="410"/>
      <c r="C482" s="410"/>
      <c r="D482" s="410"/>
      <c r="E482" s="410"/>
      <c r="F482" s="410"/>
      <c r="G482" s="780"/>
      <c r="H482" s="781"/>
      <c r="I482" s="410"/>
    </row>
    <row r="483" ht="18.0" customHeight="1">
      <c r="A483" s="410"/>
      <c r="B483" s="410"/>
      <c r="C483" s="410"/>
      <c r="D483" s="410"/>
      <c r="E483" s="410"/>
      <c r="F483" s="410"/>
      <c r="G483" s="780"/>
      <c r="H483" s="781"/>
      <c r="I483" s="410"/>
    </row>
    <row r="484" ht="18.0" customHeight="1">
      <c r="A484" s="410"/>
      <c r="B484" s="410"/>
      <c r="C484" s="410"/>
      <c r="D484" s="410"/>
      <c r="E484" s="410"/>
      <c r="F484" s="410"/>
      <c r="G484" s="780"/>
      <c r="H484" s="781"/>
      <c r="I484" s="410"/>
    </row>
    <row r="485" ht="18.0" customHeight="1">
      <c r="A485" s="410"/>
      <c r="B485" s="410"/>
      <c r="C485" s="410"/>
      <c r="D485" s="410"/>
      <c r="E485" s="410"/>
      <c r="F485" s="410"/>
      <c r="G485" s="780"/>
      <c r="H485" s="781"/>
      <c r="I485" s="410"/>
    </row>
    <row r="486" ht="18.0" customHeight="1">
      <c r="A486" s="410"/>
      <c r="B486" s="410"/>
      <c r="C486" s="410"/>
      <c r="D486" s="410"/>
      <c r="E486" s="410"/>
      <c r="F486" s="410"/>
      <c r="G486" s="780"/>
      <c r="H486" s="781"/>
      <c r="I486" s="410"/>
    </row>
    <row r="487" ht="18.0" customHeight="1">
      <c r="A487" s="410"/>
      <c r="B487" s="410"/>
      <c r="C487" s="410"/>
      <c r="D487" s="410"/>
      <c r="E487" s="410"/>
      <c r="F487" s="410"/>
      <c r="G487" s="780"/>
      <c r="H487" s="781"/>
      <c r="I487" s="410"/>
    </row>
    <row r="488" ht="18.0" customHeight="1">
      <c r="A488" s="410"/>
      <c r="B488" s="410"/>
      <c r="C488" s="410"/>
      <c r="D488" s="410"/>
      <c r="E488" s="410"/>
      <c r="F488" s="410"/>
      <c r="G488" s="780"/>
      <c r="H488" s="781"/>
      <c r="I488" s="410"/>
    </row>
    <row r="489" ht="18.0" customHeight="1">
      <c r="A489" s="410"/>
      <c r="B489" s="410"/>
      <c r="C489" s="410"/>
      <c r="D489" s="410"/>
      <c r="E489" s="410"/>
      <c r="F489" s="410"/>
      <c r="G489" s="780"/>
      <c r="H489" s="781"/>
      <c r="I489" s="410"/>
    </row>
    <row r="490" ht="18.0" customHeight="1">
      <c r="A490" s="410"/>
      <c r="B490" s="410"/>
      <c r="C490" s="410"/>
      <c r="D490" s="410"/>
      <c r="E490" s="410"/>
      <c r="F490" s="410"/>
      <c r="G490" s="780"/>
      <c r="H490" s="781"/>
      <c r="I490" s="410"/>
    </row>
    <row r="491" ht="18.0" customHeight="1">
      <c r="A491" s="410"/>
      <c r="B491" s="410"/>
      <c r="C491" s="410"/>
      <c r="D491" s="410"/>
      <c r="E491" s="410"/>
      <c r="F491" s="410"/>
      <c r="G491" s="780"/>
      <c r="H491" s="781"/>
      <c r="I491" s="410"/>
    </row>
    <row r="492" ht="18.0" customHeight="1">
      <c r="A492" s="410"/>
      <c r="B492" s="410"/>
      <c r="C492" s="410"/>
      <c r="D492" s="410"/>
      <c r="E492" s="410"/>
      <c r="F492" s="410"/>
      <c r="G492" s="780"/>
      <c r="H492" s="781"/>
      <c r="I492" s="410"/>
    </row>
    <row r="493" ht="18.0" customHeight="1">
      <c r="A493" s="410"/>
      <c r="B493" s="410"/>
      <c r="C493" s="410"/>
      <c r="D493" s="410"/>
      <c r="E493" s="410"/>
      <c r="F493" s="410"/>
      <c r="G493" s="780"/>
      <c r="H493" s="781"/>
      <c r="I493" s="410"/>
    </row>
    <row r="494" ht="18.0" customHeight="1">
      <c r="A494" s="410"/>
      <c r="B494" s="410"/>
      <c r="C494" s="410"/>
      <c r="D494" s="410"/>
      <c r="E494" s="410"/>
      <c r="F494" s="410"/>
      <c r="G494" s="780"/>
      <c r="H494" s="781"/>
      <c r="I494" s="410"/>
    </row>
    <row r="495" ht="18.0" customHeight="1">
      <c r="A495" s="410"/>
      <c r="B495" s="410"/>
      <c r="C495" s="410"/>
      <c r="D495" s="410"/>
      <c r="E495" s="410"/>
      <c r="F495" s="410"/>
      <c r="G495" s="780"/>
      <c r="H495" s="781"/>
      <c r="I495" s="410"/>
    </row>
    <row r="496" ht="18.0" customHeight="1">
      <c r="A496" s="410"/>
      <c r="B496" s="410"/>
      <c r="C496" s="410"/>
      <c r="D496" s="410"/>
      <c r="E496" s="410"/>
      <c r="F496" s="410"/>
      <c r="G496" s="780"/>
      <c r="H496" s="781"/>
      <c r="I496" s="410"/>
    </row>
    <row r="497" ht="18.0" customHeight="1">
      <c r="A497" s="410"/>
      <c r="B497" s="410"/>
      <c r="C497" s="410"/>
      <c r="D497" s="410"/>
      <c r="E497" s="410"/>
      <c r="F497" s="410"/>
      <c r="G497" s="780"/>
      <c r="H497" s="781"/>
      <c r="I497" s="410"/>
    </row>
    <row r="498" ht="18.0" customHeight="1">
      <c r="A498" s="410"/>
      <c r="B498" s="410"/>
      <c r="C498" s="410"/>
      <c r="D498" s="410"/>
      <c r="E498" s="410"/>
      <c r="F498" s="410"/>
      <c r="G498" s="780"/>
      <c r="H498" s="781"/>
      <c r="I498" s="410"/>
    </row>
    <row r="499" ht="18.0" customHeight="1">
      <c r="A499" s="410"/>
      <c r="B499" s="410"/>
      <c r="C499" s="410"/>
      <c r="D499" s="410"/>
      <c r="E499" s="410"/>
      <c r="F499" s="410"/>
      <c r="G499" s="780"/>
      <c r="H499" s="781"/>
      <c r="I499" s="410"/>
    </row>
    <row r="500" ht="18.0" customHeight="1">
      <c r="A500" s="410"/>
      <c r="B500" s="410"/>
      <c r="C500" s="410"/>
      <c r="D500" s="410"/>
      <c r="E500" s="410"/>
      <c r="F500" s="410"/>
      <c r="G500" s="780"/>
      <c r="H500" s="781"/>
      <c r="I500" s="410"/>
    </row>
    <row r="501" ht="18.0" customHeight="1">
      <c r="A501" s="410"/>
      <c r="B501" s="410"/>
      <c r="C501" s="410"/>
      <c r="D501" s="410"/>
      <c r="E501" s="410"/>
      <c r="F501" s="410"/>
      <c r="G501" s="780"/>
      <c r="H501" s="781"/>
      <c r="I501" s="410"/>
    </row>
    <row r="502" ht="18.0" customHeight="1">
      <c r="A502" s="410"/>
      <c r="B502" s="410"/>
      <c r="C502" s="410"/>
      <c r="D502" s="410"/>
      <c r="E502" s="410"/>
      <c r="F502" s="410"/>
      <c r="G502" s="780"/>
      <c r="H502" s="781"/>
      <c r="I502" s="410"/>
    </row>
    <row r="503" ht="18.0" customHeight="1">
      <c r="A503" s="410"/>
      <c r="B503" s="410"/>
      <c r="C503" s="410"/>
      <c r="D503" s="410"/>
      <c r="E503" s="410"/>
      <c r="F503" s="410"/>
      <c r="G503" s="780"/>
      <c r="H503" s="781"/>
      <c r="I503" s="410"/>
    </row>
    <row r="504" ht="18.0" customHeight="1">
      <c r="A504" s="410"/>
      <c r="B504" s="410"/>
      <c r="C504" s="410"/>
      <c r="D504" s="410"/>
      <c r="E504" s="410"/>
      <c r="F504" s="410"/>
      <c r="G504" s="780"/>
      <c r="H504" s="781"/>
      <c r="I504" s="410"/>
    </row>
    <row r="505" ht="18.0" customHeight="1">
      <c r="A505" s="410"/>
      <c r="B505" s="410"/>
      <c r="C505" s="410"/>
      <c r="D505" s="410"/>
      <c r="E505" s="410"/>
      <c r="F505" s="410"/>
      <c r="G505" s="780"/>
      <c r="H505" s="781"/>
      <c r="I505" s="410"/>
    </row>
    <row r="506" ht="18.0" customHeight="1">
      <c r="A506" s="410"/>
      <c r="B506" s="410"/>
      <c r="C506" s="410"/>
      <c r="D506" s="410"/>
      <c r="E506" s="410"/>
      <c r="F506" s="410"/>
      <c r="G506" s="780"/>
      <c r="H506" s="781"/>
      <c r="I506" s="410"/>
    </row>
    <row r="507" ht="18.0" customHeight="1">
      <c r="A507" s="410"/>
      <c r="B507" s="410"/>
      <c r="C507" s="410"/>
      <c r="D507" s="410"/>
      <c r="E507" s="410"/>
      <c r="F507" s="410"/>
      <c r="G507" s="780"/>
      <c r="H507" s="781"/>
      <c r="I507" s="410"/>
    </row>
    <row r="508" ht="18.0" customHeight="1">
      <c r="A508" s="410"/>
      <c r="B508" s="410"/>
      <c r="C508" s="410"/>
      <c r="D508" s="410"/>
      <c r="E508" s="410"/>
      <c r="F508" s="410"/>
      <c r="G508" s="780"/>
      <c r="H508" s="781"/>
      <c r="I508" s="410"/>
    </row>
    <row r="509" ht="18.0" customHeight="1">
      <c r="A509" s="410"/>
      <c r="B509" s="410"/>
      <c r="C509" s="410"/>
      <c r="D509" s="410"/>
      <c r="E509" s="410"/>
      <c r="F509" s="410"/>
      <c r="G509" s="780"/>
      <c r="H509" s="781"/>
      <c r="I509" s="410"/>
    </row>
    <row r="510" ht="18.0" customHeight="1">
      <c r="A510" s="410"/>
      <c r="B510" s="410"/>
      <c r="C510" s="410"/>
      <c r="D510" s="410"/>
      <c r="E510" s="410"/>
      <c r="F510" s="410"/>
      <c r="G510" s="780"/>
      <c r="H510" s="781"/>
      <c r="I510" s="410"/>
    </row>
    <row r="511" ht="18.0" customHeight="1">
      <c r="A511" s="410"/>
      <c r="B511" s="410"/>
      <c r="C511" s="410"/>
      <c r="D511" s="410"/>
      <c r="E511" s="410"/>
      <c r="F511" s="410"/>
      <c r="G511" s="780"/>
      <c r="H511" s="781"/>
      <c r="I511" s="410"/>
    </row>
    <row r="512" ht="18.0" customHeight="1">
      <c r="A512" s="410"/>
      <c r="B512" s="410"/>
      <c r="C512" s="410"/>
      <c r="D512" s="410"/>
      <c r="E512" s="410"/>
      <c r="F512" s="410"/>
      <c r="G512" s="780"/>
      <c r="H512" s="781"/>
      <c r="I512" s="410"/>
    </row>
    <row r="513" ht="18.0" customHeight="1">
      <c r="A513" s="410"/>
      <c r="B513" s="410"/>
      <c r="C513" s="410"/>
      <c r="D513" s="410"/>
      <c r="E513" s="410"/>
      <c r="F513" s="410"/>
      <c r="G513" s="780"/>
      <c r="H513" s="781"/>
      <c r="I513" s="410"/>
    </row>
    <row r="514" ht="18.0" customHeight="1">
      <c r="A514" s="410"/>
      <c r="B514" s="410"/>
      <c r="C514" s="410"/>
      <c r="D514" s="410"/>
      <c r="E514" s="410"/>
      <c r="F514" s="410"/>
      <c r="G514" s="780"/>
      <c r="H514" s="781"/>
      <c r="I514" s="410"/>
    </row>
    <row r="515" ht="18.0" customHeight="1">
      <c r="A515" s="410"/>
      <c r="B515" s="410"/>
      <c r="C515" s="410"/>
      <c r="D515" s="410"/>
      <c r="E515" s="410"/>
      <c r="F515" s="410"/>
      <c r="G515" s="780"/>
      <c r="H515" s="781"/>
      <c r="I515" s="410"/>
    </row>
    <row r="516" ht="18.0" customHeight="1">
      <c r="A516" s="410"/>
      <c r="B516" s="410"/>
      <c r="C516" s="410"/>
      <c r="D516" s="410"/>
      <c r="E516" s="410"/>
      <c r="F516" s="410"/>
      <c r="G516" s="780"/>
      <c r="H516" s="781"/>
      <c r="I516" s="410"/>
    </row>
    <row r="517" ht="18.0" customHeight="1">
      <c r="A517" s="410"/>
      <c r="B517" s="410"/>
      <c r="C517" s="410"/>
      <c r="D517" s="410"/>
      <c r="E517" s="410"/>
      <c r="F517" s="410"/>
      <c r="G517" s="780"/>
      <c r="H517" s="781"/>
      <c r="I517" s="410"/>
    </row>
    <row r="518" ht="18.0" customHeight="1">
      <c r="A518" s="410"/>
      <c r="B518" s="410"/>
      <c r="C518" s="410"/>
      <c r="D518" s="410"/>
      <c r="E518" s="410"/>
      <c r="F518" s="410"/>
      <c r="G518" s="780"/>
      <c r="H518" s="781"/>
      <c r="I518" s="410"/>
    </row>
    <row r="519" ht="18.0" customHeight="1">
      <c r="A519" s="410"/>
      <c r="B519" s="410"/>
      <c r="C519" s="410"/>
      <c r="D519" s="410"/>
      <c r="E519" s="410"/>
      <c r="F519" s="410"/>
      <c r="G519" s="780"/>
      <c r="H519" s="781"/>
      <c r="I519" s="410"/>
    </row>
    <row r="520" ht="18.0" customHeight="1">
      <c r="A520" s="410"/>
      <c r="B520" s="410"/>
      <c r="C520" s="410"/>
      <c r="D520" s="410"/>
      <c r="E520" s="410"/>
      <c r="F520" s="410"/>
      <c r="G520" s="780"/>
      <c r="H520" s="781"/>
      <c r="I520" s="410"/>
    </row>
    <row r="521" ht="18.0" customHeight="1">
      <c r="A521" s="410"/>
      <c r="B521" s="410"/>
      <c r="C521" s="410"/>
      <c r="D521" s="410"/>
      <c r="E521" s="410"/>
      <c r="F521" s="410"/>
      <c r="G521" s="780"/>
      <c r="H521" s="781"/>
      <c r="I521" s="410"/>
    </row>
    <row r="522" ht="18.0" customHeight="1">
      <c r="A522" s="410"/>
      <c r="B522" s="410"/>
      <c r="C522" s="410"/>
      <c r="D522" s="410"/>
      <c r="E522" s="410"/>
      <c r="F522" s="410"/>
      <c r="G522" s="780"/>
      <c r="H522" s="781"/>
      <c r="I522" s="410"/>
    </row>
    <row r="523" ht="18.0" customHeight="1">
      <c r="A523" s="410"/>
      <c r="B523" s="410"/>
      <c r="C523" s="410"/>
      <c r="D523" s="410"/>
      <c r="E523" s="410"/>
      <c r="F523" s="410"/>
      <c r="G523" s="780"/>
      <c r="H523" s="781"/>
      <c r="I523" s="410"/>
    </row>
    <row r="524" ht="18.0" customHeight="1">
      <c r="A524" s="410"/>
      <c r="B524" s="410"/>
      <c r="C524" s="410"/>
      <c r="D524" s="410"/>
      <c r="E524" s="410"/>
      <c r="F524" s="410"/>
      <c r="G524" s="780"/>
      <c r="H524" s="781"/>
      <c r="I524" s="410"/>
    </row>
    <row r="525" ht="18.0" customHeight="1">
      <c r="A525" s="410"/>
      <c r="B525" s="410"/>
      <c r="C525" s="410"/>
      <c r="D525" s="410"/>
      <c r="E525" s="410"/>
      <c r="F525" s="410"/>
      <c r="G525" s="780"/>
      <c r="H525" s="781"/>
      <c r="I525" s="410"/>
    </row>
    <row r="526" ht="18.0" customHeight="1">
      <c r="A526" s="410"/>
      <c r="B526" s="410"/>
      <c r="C526" s="410"/>
      <c r="D526" s="410"/>
      <c r="E526" s="410"/>
      <c r="F526" s="410"/>
      <c r="G526" s="780"/>
      <c r="H526" s="781"/>
      <c r="I526" s="410"/>
    </row>
    <row r="527" ht="18.0" customHeight="1">
      <c r="A527" s="410"/>
      <c r="B527" s="410"/>
      <c r="C527" s="410"/>
      <c r="D527" s="410"/>
      <c r="E527" s="410"/>
      <c r="F527" s="410"/>
      <c r="G527" s="780"/>
      <c r="H527" s="781"/>
      <c r="I527" s="410"/>
    </row>
    <row r="528" ht="18.0" customHeight="1">
      <c r="A528" s="410"/>
      <c r="B528" s="410"/>
      <c r="C528" s="410"/>
      <c r="D528" s="410"/>
      <c r="E528" s="410"/>
      <c r="F528" s="410"/>
      <c r="G528" s="780"/>
      <c r="H528" s="781"/>
      <c r="I528" s="410"/>
    </row>
    <row r="529" ht="18.0" customHeight="1">
      <c r="A529" s="410"/>
      <c r="B529" s="410"/>
      <c r="C529" s="410"/>
      <c r="D529" s="410"/>
      <c r="E529" s="410"/>
      <c r="F529" s="410"/>
      <c r="G529" s="780"/>
      <c r="H529" s="781"/>
      <c r="I529" s="410"/>
    </row>
    <row r="530" ht="18.0" customHeight="1">
      <c r="A530" s="410"/>
      <c r="B530" s="410"/>
      <c r="C530" s="410"/>
      <c r="D530" s="410"/>
      <c r="E530" s="410"/>
      <c r="F530" s="410"/>
      <c r="G530" s="780"/>
      <c r="H530" s="781"/>
      <c r="I530" s="410"/>
    </row>
    <row r="531" ht="18.0" customHeight="1">
      <c r="A531" s="410"/>
      <c r="B531" s="410"/>
      <c r="C531" s="410"/>
      <c r="D531" s="410"/>
      <c r="E531" s="410"/>
      <c r="F531" s="410"/>
      <c r="G531" s="780"/>
      <c r="H531" s="781"/>
      <c r="I531" s="410"/>
    </row>
    <row r="532" ht="18.0" customHeight="1">
      <c r="A532" s="410"/>
      <c r="B532" s="410"/>
      <c r="C532" s="410"/>
      <c r="D532" s="410"/>
      <c r="E532" s="410"/>
      <c r="F532" s="410"/>
      <c r="G532" s="780"/>
      <c r="H532" s="781"/>
      <c r="I532" s="410"/>
    </row>
    <row r="533" ht="18.0" customHeight="1">
      <c r="A533" s="410"/>
      <c r="B533" s="410"/>
      <c r="C533" s="410"/>
      <c r="D533" s="410"/>
      <c r="E533" s="410"/>
      <c r="F533" s="410"/>
      <c r="G533" s="780"/>
      <c r="H533" s="781"/>
      <c r="I533" s="410"/>
    </row>
    <row r="534" ht="18.0" customHeight="1">
      <c r="A534" s="410"/>
      <c r="B534" s="410"/>
      <c r="C534" s="410"/>
      <c r="D534" s="410"/>
      <c r="E534" s="410"/>
      <c r="F534" s="410"/>
      <c r="G534" s="780"/>
      <c r="H534" s="781"/>
      <c r="I534" s="410"/>
    </row>
    <row r="535" ht="18.0" customHeight="1">
      <c r="A535" s="410"/>
      <c r="B535" s="410"/>
      <c r="C535" s="410"/>
      <c r="D535" s="410"/>
      <c r="E535" s="410"/>
      <c r="F535" s="410"/>
      <c r="G535" s="780"/>
      <c r="H535" s="781"/>
      <c r="I535" s="410"/>
    </row>
    <row r="536" ht="18.0" customHeight="1">
      <c r="A536" s="410"/>
      <c r="B536" s="410"/>
      <c r="C536" s="410"/>
      <c r="D536" s="410"/>
      <c r="E536" s="410"/>
      <c r="F536" s="410"/>
      <c r="G536" s="780"/>
      <c r="H536" s="781"/>
      <c r="I536" s="410"/>
    </row>
    <row r="537" ht="18.0" customHeight="1">
      <c r="A537" s="410"/>
      <c r="B537" s="410"/>
      <c r="C537" s="410"/>
      <c r="D537" s="410"/>
      <c r="E537" s="410"/>
      <c r="F537" s="410"/>
      <c r="G537" s="780"/>
      <c r="H537" s="781"/>
      <c r="I537" s="410"/>
    </row>
    <row r="538" ht="18.0" customHeight="1">
      <c r="A538" s="410"/>
      <c r="B538" s="410"/>
      <c r="C538" s="410"/>
      <c r="D538" s="410"/>
      <c r="E538" s="410"/>
      <c r="F538" s="410"/>
      <c r="G538" s="780"/>
      <c r="H538" s="781"/>
      <c r="I538" s="410"/>
    </row>
    <row r="539" ht="18.0" customHeight="1">
      <c r="A539" s="410"/>
      <c r="B539" s="410"/>
      <c r="C539" s="410"/>
      <c r="D539" s="410"/>
      <c r="E539" s="410"/>
      <c r="F539" s="410"/>
      <c r="G539" s="780"/>
      <c r="H539" s="781"/>
      <c r="I539" s="410"/>
    </row>
    <row r="540" ht="18.0" customHeight="1">
      <c r="A540" s="410"/>
      <c r="B540" s="410"/>
      <c r="C540" s="410"/>
      <c r="D540" s="410"/>
      <c r="E540" s="410"/>
      <c r="F540" s="410"/>
      <c r="G540" s="780"/>
      <c r="H540" s="781"/>
      <c r="I540" s="410"/>
    </row>
    <row r="541" ht="18.0" customHeight="1">
      <c r="A541" s="410"/>
      <c r="B541" s="410"/>
      <c r="C541" s="410"/>
      <c r="D541" s="410"/>
      <c r="E541" s="410"/>
      <c r="F541" s="410"/>
      <c r="G541" s="780"/>
      <c r="H541" s="781"/>
      <c r="I541" s="410"/>
    </row>
    <row r="542" ht="18.0" customHeight="1">
      <c r="A542" s="410"/>
      <c r="B542" s="410"/>
      <c r="C542" s="410"/>
      <c r="D542" s="410"/>
      <c r="E542" s="410"/>
      <c r="F542" s="410"/>
      <c r="G542" s="780"/>
      <c r="H542" s="781"/>
      <c r="I542" s="410"/>
    </row>
    <row r="543" ht="18.0" customHeight="1">
      <c r="A543" s="410"/>
      <c r="B543" s="410"/>
      <c r="C543" s="410"/>
      <c r="D543" s="410"/>
      <c r="E543" s="410"/>
      <c r="F543" s="410"/>
      <c r="G543" s="780"/>
      <c r="H543" s="781"/>
      <c r="I543" s="410"/>
    </row>
    <row r="544" ht="18.0" customHeight="1">
      <c r="A544" s="410"/>
      <c r="B544" s="410"/>
      <c r="C544" s="410"/>
      <c r="D544" s="410"/>
      <c r="E544" s="410"/>
      <c r="F544" s="410"/>
      <c r="G544" s="780"/>
      <c r="H544" s="781"/>
      <c r="I544" s="410"/>
    </row>
    <row r="545" ht="18.0" customHeight="1">
      <c r="A545" s="410"/>
      <c r="B545" s="410"/>
      <c r="C545" s="410"/>
      <c r="D545" s="410"/>
      <c r="E545" s="410"/>
      <c r="F545" s="410"/>
      <c r="G545" s="780"/>
      <c r="H545" s="781"/>
      <c r="I545" s="410"/>
    </row>
    <row r="546" ht="18.0" customHeight="1">
      <c r="A546" s="410"/>
      <c r="B546" s="410"/>
      <c r="C546" s="410"/>
      <c r="D546" s="410"/>
      <c r="E546" s="410"/>
      <c r="F546" s="410"/>
      <c r="G546" s="780"/>
      <c r="H546" s="781"/>
      <c r="I546" s="410"/>
    </row>
    <row r="547" ht="18.0" customHeight="1">
      <c r="A547" s="410"/>
      <c r="B547" s="410"/>
      <c r="C547" s="410"/>
      <c r="D547" s="410"/>
      <c r="E547" s="410"/>
      <c r="F547" s="410"/>
      <c r="G547" s="780"/>
      <c r="H547" s="781"/>
      <c r="I547" s="410"/>
    </row>
    <row r="548" ht="18.0" customHeight="1">
      <c r="A548" s="410"/>
      <c r="B548" s="410"/>
      <c r="C548" s="410"/>
      <c r="D548" s="410"/>
      <c r="E548" s="410"/>
      <c r="F548" s="410"/>
      <c r="G548" s="780"/>
      <c r="H548" s="781"/>
      <c r="I548" s="410"/>
    </row>
    <row r="549" ht="18.0" customHeight="1">
      <c r="A549" s="410"/>
      <c r="B549" s="410"/>
      <c r="C549" s="410"/>
      <c r="D549" s="410"/>
      <c r="E549" s="410"/>
      <c r="F549" s="410"/>
      <c r="G549" s="780"/>
      <c r="H549" s="781"/>
      <c r="I549" s="410"/>
    </row>
    <row r="550" ht="18.0" customHeight="1">
      <c r="A550" s="410"/>
      <c r="B550" s="410"/>
      <c r="C550" s="410"/>
      <c r="D550" s="410"/>
      <c r="E550" s="410"/>
      <c r="F550" s="410"/>
      <c r="G550" s="780"/>
      <c r="H550" s="781"/>
      <c r="I550" s="410"/>
    </row>
    <row r="551" ht="18.0" customHeight="1">
      <c r="A551" s="410"/>
      <c r="B551" s="410"/>
      <c r="C551" s="410"/>
      <c r="D551" s="410"/>
      <c r="E551" s="410"/>
      <c r="F551" s="410"/>
      <c r="G551" s="780"/>
      <c r="H551" s="781"/>
      <c r="I551" s="410"/>
    </row>
    <row r="552" ht="18.0" customHeight="1">
      <c r="A552" s="410"/>
      <c r="B552" s="410"/>
      <c r="C552" s="410"/>
      <c r="D552" s="410"/>
      <c r="E552" s="410"/>
      <c r="F552" s="410"/>
      <c r="G552" s="780"/>
      <c r="H552" s="781"/>
      <c r="I552" s="410"/>
    </row>
    <row r="553" ht="18.0" customHeight="1">
      <c r="A553" s="410"/>
      <c r="B553" s="410"/>
      <c r="C553" s="410"/>
      <c r="D553" s="410"/>
      <c r="E553" s="410"/>
      <c r="F553" s="410"/>
      <c r="G553" s="780"/>
      <c r="H553" s="781"/>
      <c r="I553" s="410"/>
    </row>
    <row r="554" ht="18.0" customHeight="1">
      <c r="A554" s="410"/>
      <c r="B554" s="410"/>
      <c r="C554" s="410"/>
      <c r="D554" s="410"/>
      <c r="E554" s="410"/>
      <c r="F554" s="410"/>
      <c r="G554" s="780"/>
      <c r="H554" s="781"/>
      <c r="I554" s="410"/>
    </row>
    <row r="555" ht="18.0" customHeight="1">
      <c r="A555" s="410"/>
      <c r="B555" s="410"/>
      <c r="C555" s="410"/>
      <c r="D555" s="410"/>
      <c r="E555" s="410"/>
      <c r="F555" s="410"/>
      <c r="G555" s="780"/>
      <c r="H555" s="781"/>
      <c r="I555" s="410"/>
    </row>
    <row r="556" ht="18.0" customHeight="1">
      <c r="A556" s="410"/>
      <c r="B556" s="410"/>
      <c r="C556" s="410"/>
      <c r="D556" s="410"/>
      <c r="E556" s="410"/>
      <c r="F556" s="410"/>
      <c r="G556" s="780"/>
      <c r="H556" s="781"/>
      <c r="I556" s="410"/>
    </row>
    <row r="557" ht="18.0" customHeight="1">
      <c r="A557" s="410"/>
      <c r="B557" s="410"/>
      <c r="C557" s="410"/>
      <c r="D557" s="410"/>
      <c r="E557" s="410"/>
      <c r="F557" s="410"/>
      <c r="G557" s="780"/>
      <c r="H557" s="781"/>
      <c r="I557" s="410"/>
    </row>
    <row r="558" ht="18.0" customHeight="1">
      <c r="A558" s="410"/>
      <c r="B558" s="410"/>
      <c r="C558" s="410"/>
      <c r="D558" s="410"/>
      <c r="E558" s="410"/>
      <c r="F558" s="410"/>
      <c r="G558" s="780"/>
      <c r="H558" s="781"/>
      <c r="I558" s="410"/>
    </row>
    <row r="559" ht="18.0" customHeight="1">
      <c r="A559" s="410"/>
      <c r="B559" s="410"/>
      <c r="C559" s="410"/>
      <c r="D559" s="410"/>
      <c r="E559" s="410"/>
      <c r="F559" s="410"/>
      <c r="G559" s="780"/>
      <c r="H559" s="781"/>
      <c r="I559" s="410"/>
    </row>
    <row r="560" ht="18.0" customHeight="1">
      <c r="A560" s="410"/>
      <c r="B560" s="410"/>
      <c r="C560" s="410"/>
      <c r="D560" s="410"/>
      <c r="E560" s="410"/>
      <c r="F560" s="410"/>
      <c r="G560" s="780"/>
      <c r="H560" s="781"/>
      <c r="I560" s="410"/>
    </row>
    <row r="561" ht="18.0" customHeight="1">
      <c r="A561" s="410"/>
      <c r="B561" s="410"/>
      <c r="C561" s="410"/>
      <c r="D561" s="410"/>
      <c r="E561" s="410"/>
      <c r="F561" s="410"/>
      <c r="G561" s="780"/>
      <c r="H561" s="781"/>
      <c r="I561" s="410"/>
    </row>
    <row r="562" ht="18.0" customHeight="1">
      <c r="A562" s="410"/>
      <c r="B562" s="410"/>
      <c r="C562" s="410"/>
      <c r="D562" s="410"/>
      <c r="E562" s="410"/>
      <c r="F562" s="410"/>
      <c r="G562" s="780"/>
      <c r="H562" s="781"/>
      <c r="I562" s="410"/>
    </row>
    <row r="563" ht="18.0" customHeight="1">
      <c r="A563" s="410"/>
      <c r="B563" s="410"/>
      <c r="C563" s="410"/>
      <c r="D563" s="410"/>
      <c r="E563" s="410"/>
      <c r="F563" s="410"/>
      <c r="G563" s="780"/>
      <c r="H563" s="781"/>
      <c r="I563" s="410"/>
    </row>
    <row r="564" ht="18.0" customHeight="1">
      <c r="A564" s="410"/>
      <c r="B564" s="410"/>
      <c r="C564" s="410"/>
      <c r="D564" s="410"/>
      <c r="E564" s="410"/>
      <c r="F564" s="410"/>
      <c r="G564" s="780"/>
      <c r="H564" s="781"/>
      <c r="I564" s="410"/>
    </row>
    <row r="565" ht="18.0" customHeight="1">
      <c r="A565" s="410"/>
      <c r="B565" s="410"/>
      <c r="C565" s="410"/>
      <c r="D565" s="410"/>
      <c r="E565" s="410"/>
      <c r="F565" s="410"/>
      <c r="G565" s="780"/>
      <c r="H565" s="781"/>
      <c r="I565" s="410"/>
    </row>
    <row r="566" ht="18.0" customHeight="1">
      <c r="A566" s="410"/>
      <c r="B566" s="410"/>
      <c r="C566" s="410"/>
      <c r="D566" s="410"/>
      <c r="E566" s="410"/>
      <c r="F566" s="410"/>
      <c r="G566" s="780"/>
      <c r="H566" s="781"/>
      <c r="I566" s="410"/>
    </row>
    <row r="567" ht="18.0" customHeight="1">
      <c r="A567" s="410"/>
      <c r="B567" s="410"/>
      <c r="C567" s="410"/>
      <c r="D567" s="410"/>
      <c r="E567" s="410"/>
      <c r="F567" s="410"/>
      <c r="G567" s="780"/>
      <c r="H567" s="781"/>
      <c r="I567" s="410"/>
    </row>
    <row r="568" ht="18.0" customHeight="1">
      <c r="A568" s="410"/>
      <c r="B568" s="410"/>
      <c r="C568" s="410"/>
      <c r="D568" s="410"/>
      <c r="E568" s="410"/>
      <c r="F568" s="410"/>
      <c r="G568" s="780"/>
      <c r="H568" s="781"/>
      <c r="I568" s="410"/>
    </row>
    <row r="569" ht="18.0" customHeight="1">
      <c r="A569" s="410"/>
      <c r="B569" s="410"/>
      <c r="C569" s="410"/>
      <c r="D569" s="410"/>
      <c r="E569" s="410"/>
      <c r="F569" s="410"/>
      <c r="G569" s="780"/>
      <c r="H569" s="781"/>
      <c r="I569" s="410"/>
    </row>
    <row r="570" ht="18.0" customHeight="1">
      <c r="A570" s="410"/>
      <c r="B570" s="410"/>
      <c r="C570" s="410"/>
      <c r="D570" s="410"/>
      <c r="E570" s="410"/>
      <c r="F570" s="410"/>
      <c r="G570" s="780"/>
      <c r="H570" s="781"/>
      <c r="I570" s="410"/>
    </row>
    <row r="571" ht="18.0" customHeight="1">
      <c r="A571" s="410"/>
      <c r="B571" s="410"/>
      <c r="C571" s="410"/>
      <c r="D571" s="410"/>
      <c r="E571" s="410"/>
      <c r="F571" s="410"/>
      <c r="G571" s="780"/>
      <c r="H571" s="781"/>
      <c r="I571" s="410"/>
    </row>
    <row r="572" ht="18.0" customHeight="1">
      <c r="A572" s="410"/>
      <c r="B572" s="410"/>
      <c r="C572" s="410"/>
      <c r="D572" s="410"/>
      <c r="E572" s="410"/>
      <c r="F572" s="410"/>
      <c r="G572" s="780"/>
      <c r="H572" s="781"/>
      <c r="I572" s="410"/>
    </row>
    <row r="573" ht="18.0" customHeight="1">
      <c r="A573" s="410"/>
      <c r="B573" s="410"/>
      <c r="C573" s="410"/>
      <c r="D573" s="410"/>
      <c r="E573" s="410"/>
      <c r="F573" s="410"/>
      <c r="G573" s="780"/>
      <c r="H573" s="781"/>
      <c r="I573" s="410"/>
    </row>
    <row r="574" ht="18.0" customHeight="1">
      <c r="A574" s="410"/>
      <c r="B574" s="410"/>
      <c r="C574" s="410"/>
      <c r="D574" s="410"/>
      <c r="E574" s="410"/>
      <c r="F574" s="410"/>
      <c r="G574" s="780"/>
      <c r="H574" s="781"/>
      <c r="I574" s="410"/>
    </row>
    <row r="575" ht="18.0" customHeight="1">
      <c r="A575" s="410"/>
      <c r="B575" s="410"/>
      <c r="C575" s="410"/>
      <c r="D575" s="410"/>
      <c r="E575" s="410"/>
      <c r="F575" s="410"/>
      <c r="G575" s="780"/>
      <c r="H575" s="781"/>
      <c r="I575" s="410"/>
    </row>
    <row r="576" ht="18.0" customHeight="1">
      <c r="A576" s="410"/>
      <c r="B576" s="410"/>
      <c r="C576" s="410"/>
      <c r="D576" s="410"/>
      <c r="E576" s="410"/>
      <c r="F576" s="410"/>
      <c r="G576" s="780"/>
      <c r="H576" s="781"/>
      <c r="I576" s="410"/>
    </row>
    <row r="577" ht="18.0" customHeight="1">
      <c r="A577" s="410"/>
      <c r="B577" s="410"/>
      <c r="C577" s="410"/>
      <c r="D577" s="410"/>
      <c r="E577" s="410"/>
      <c r="F577" s="410"/>
      <c r="G577" s="780"/>
      <c r="H577" s="781"/>
      <c r="I577" s="410"/>
    </row>
    <row r="578" ht="18.0" customHeight="1">
      <c r="A578" s="410"/>
      <c r="B578" s="410"/>
      <c r="C578" s="410"/>
      <c r="D578" s="410"/>
      <c r="E578" s="410"/>
      <c r="F578" s="410"/>
      <c r="G578" s="780"/>
      <c r="H578" s="781"/>
      <c r="I578" s="410"/>
    </row>
    <row r="579" ht="18.0" customHeight="1">
      <c r="A579" s="410"/>
      <c r="B579" s="410"/>
      <c r="C579" s="410"/>
      <c r="D579" s="410"/>
      <c r="E579" s="410"/>
      <c r="F579" s="410"/>
      <c r="G579" s="780"/>
      <c r="H579" s="781"/>
      <c r="I579" s="410"/>
    </row>
    <row r="580" ht="18.0" customHeight="1">
      <c r="A580" s="410"/>
      <c r="B580" s="410"/>
      <c r="C580" s="410"/>
      <c r="D580" s="410"/>
      <c r="E580" s="410"/>
      <c r="F580" s="410"/>
      <c r="G580" s="780"/>
      <c r="H580" s="781"/>
      <c r="I580" s="410"/>
    </row>
    <row r="581" ht="18.0" customHeight="1">
      <c r="A581" s="410"/>
      <c r="B581" s="410"/>
      <c r="C581" s="410"/>
      <c r="D581" s="410"/>
      <c r="E581" s="410"/>
      <c r="F581" s="410"/>
      <c r="G581" s="780"/>
      <c r="H581" s="781"/>
      <c r="I581" s="410"/>
    </row>
    <row r="582" ht="18.0" customHeight="1">
      <c r="A582" s="410"/>
      <c r="B582" s="410"/>
      <c r="C582" s="410"/>
      <c r="D582" s="410"/>
      <c r="E582" s="410"/>
      <c r="F582" s="410"/>
      <c r="G582" s="780"/>
      <c r="H582" s="781"/>
      <c r="I582" s="410"/>
    </row>
    <row r="583" ht="18.0" customHeight="1">
      <c r="A583" s="410"/>
      <c r="B583" s="410"/>
      <c r="C583" s="410"/>
      <c r="D583" s="410"/>
      <c r="E583" s="410"/>
      <c r="F583" s="410"/>
      <c r="G583" s="780"/>
      <c r="H583" s="781"/>
      <c r="I583" s="410"/>
    </row>
    <row r="584" ht="18.0" customHeight="1">
      <c r="A584" s="410"/>
      <c r="B584" s="410"/>
      <c r="C584" s="410"/>
      <c r="D584" s="410"/>
      <c r="E584" s="410"/>
      <c r="F584" s="410"/>
      <c r="G584" s="780"/>
      <c r="H584" s="781"/>
      <c r="I584" s="410"/>
    </row>
    <row r="585" ht="18.0" customHeight="1">
      <c r="A585" s="410"/>
      <c r="B585" s="410"/>
      <c r="C585" s="410"/>
      <c r="D585" s="410"/>
      <c r="E585" s="410"/>
      <c r="F585" s="410"/>
      <c r="G585" s="780"/>
      <c r="H585" s="781"/>
      <c r="I585" s="410"/>
    </row>
    <row r="586" ht="18.0" customHeight="1">
      <c r="A586" s="410"/>
      <c r="B586" s="410"/>
      <c r="C586" s="410"/>
      <c r="D586" s="410"/>
      <c r="E586" s="410"/>
      <c r="F586" s="410"/>
      <c r="G586" s="780"/>
      <c r="H586" s="781"/>
      <c r="I586" s="410"/>
    </row>
    <row r="587" ht="18.0" customHeight="1">
      <c r="A587" s="410"/>
      <c r="B587" s="410"/>
      <c r="C587" s="410"/>
      <c r="D587" s="410"/>
      <c r="E587" s="410"/>
      <c r="F587" s="410"/>
      <c r="G587" s="780"/>
      <c r="H587" s="781"/>
      <c r="I587" s="410"/>
    </row>
    <row r="588" ht="18.0" customHeight="1">
      <c r="A588" s="410"/>
      <c r="B588" s="410"/>
      <c r="C588" s="410"/>
      <c r="D588" s="410"/>
      <c r="E588" s="410"/>
      <c r="F588" s="410"/>
      <c r="G588" s="780"/>
      <c r="H588" s="781"/>
      <c r="I588" s="410"/>
    </row>
    <row r="589" ht="18.0" customHeight="1">
      <c r="A589" s="410"/>
      <c r="B589" s="410"/>
      <c r="C589" s="410"/>
      <c r="D589" s="410"/>
      <c r="E589" s="410"/>
      <c r="F589" s="410"/>
      <c r="G589" s="780"/>
      <c r="H589" s="781"/>
      <c r="I589" s="410"/>
    </row>
    <row r="590" ht="18.0" customHeight="1">
      <c r="A590" s="410"/>
      <c r="B590" s="410"/>
      <c r="C590" s="410"/>
      <c r="D590" s="410"/>
      <c r="E590" s="410"/>
      <c r="F590" s="410"/>
      <c r="G590" s="780"/>
      <c r="H590" s="781"/>
      <c r="I590" s="410"/>
    </row>
    <row r="591" ht="18.0" customHeight="1">
      <c r="A591" s="410"/>
      <c r="B591" s="410"/>
      <c r="C591" s="410"/>
      <c r="D591" s="410"/>
      <c r="E591" s="410"/>
      <c r="F591" s="410"/>
      <c r="G591" s="780"/>
      <c r="H591" s="781"/>
      <c r="I591" s="410"/>
    </row>
    <row r="592" ht="18.0" customHeight="1">
      <c r="A592" s="410"/>
      <c r="B592" s="410"/>
      <c r="C592" s="410"/>
      <c r="D592" s="410"/>
      <c r="E592" s="410"/>
      <c r="F592" s="410"/>
      <c r="G592" s="780"/>
      <c r="H592" s="781"/>
      <c r="I592" s="410"/>
    </row>
    <row r="593" ht="18.0" customHeight="1">
      <c r="A593" s="410"/>
      <c r="B593" s="410"/>
      <c r="C593" s="410"/>
      <c r="D593" s="410"/>
      <c r="E593" s="410"/>
      <c r="F593" s="410"/>
      <c r="G593" s="780"/>
      <c r="H593" s="781"/>
      <c r="I593" s="410"/>
    </row>
    <row r="594" ht="18.0" customHeight="1">
      <c r="A594" s="410"/>
      <c r="B594" s="410"/>
      <c r="C594" s="410"/>
      <c r="D594" s="410"/>
      <c r="E594" s="410"/>
      <c r="F594" s="410"/>
      <c r="G594" s="780"/>
      <c r="H594" s="781"/>
      <c r="I594" s="410"/>
    </row>
    <row r="595" ht="18.0" customHeight="1">
      <c r="A595" s="410"/>
      <c r="B595" s="410"/>
      <c r="C595" s="410"/>
      <c r="D595" s="410"/>
      <c r="E595" s="410"/>
      <c r="F595" s="410"/>
      <c r="G595" s="780"/>
      <c r="H595" s="781"/>
      <c r="I595" s="410"/>
    </row>
    <row r="596" ht="18.0" customHeight="1">
      <c r="A596" s="410"/>
      <c r="B596" s="410"/>
      <c r="C596" s="410"/>
      <c r="D596" s="410"/>
      <c r="E596" s="410"/>
      <c r="F596" s="410"/>
      <c r="G596" s="780"/>
      <c r="H596" s="781"/>
      <c r="I596" s="410"/>
    </row>
    <row r="597" ht="18.0" customHeight="1">
      <c r="A597" s="410"/>
      <c r="B597" s="410"/>
      <c r="C597" s="410"/>
      <c r="D597" s="410"/>
      <c r="E597" s="410"/>
      <c r="F597" s="410"/>
      <c r="G597" s="780"/>
      <c r="H597" s="781"/>
      <c r="I597" s="410"/>
    </row>
    <row r="598" ht="18.0" customHeight="1">
      <c r="A598" s="410"/>
      <c r="B598" s="410"/>
      <c r="C598" s="410"/>
      <c r="D598" s="410"/>
      <c r="E598" s="410"/>
      <c r="F598" s="410"/>
      <c r="G598" s="780"/>
      <c r="H598" s="781"/>
      <c r="I598" s="410"/>
    </row>
    <row r="599" ht="18.0" customHeight="1">
      <c r="A599" s="410"/>
      <c r="B599" s="410"/>
      <c r="C599" s="410"/>
      <c r="D599" s="410"/>
      <c r="E599" s="410"/>
      <c r="F599" s="410"/>
      <c r="G599" s="780"/>
      <c r="H599" s="781"/>
      <c r="I599" s="410"/>
    </row>
    <row r="600" ht="18.0" customHeight="1">
      <c r="A600" s="410"/>
      <c r="B600" s="410"/>
      <c r="C600" s="410"/>
      <c r="D600" s="410"/>
      <c r="E600" s="410"/>
      <c r="F600" s="410"/>
      <c r="G600" s="780"/>
      <c r="H600" s="781"/>
      <c r="I600" s="410"/>
    </row>
    <row r="601" ht="18.0" customHeight="1">
      <c r="A601" s="410"/>
      <c r="B601" s="410"/>
      <c r="C601" s="410"/>
      <c r="D601" s="410"/>
      <c r="E601" s="410"/>
      <c r="F601" s="410"/>
      <c r="G601" s="780"/>
      <c r="H601" s="781"/>
      <c r="I601" s="410"/>
    </row>
    <row r="602" ht="18.0" customHeight="1">
      <c r="A602" s="410"/>
      <c r="B602" s="410"/>
      <c r="C602" s="410"/>
      <c r="D602" s="410"/>
      <c r="E602" s="410"/>
      <c r="F602" s="410"/>
      <c r="G602" s="780"/>
      <c r="H602" s="781"/>
      <c r="I602" s="410"/>
    </row>
    <row r="603" ht="18.0" customHeight="1">
      <c r="A603" s="410"/>
      <c r="B603" s="410"/>
      <c r="C603" s="410"/>
      <c r="D603" s="410"/>
      <c r="E603" s="410"/>
      <c r="F603" s="410"/>
      <c r="G603" s="780"/>
      <c r="H603" s="781"/>
      <c r="I603" s="410"/>
    </row>
    <row r="604" ht="18.0" customHeight="1">
      <c r="A604" s="410"/>
      <c r="B604" s="410"/>
      <c r="C604" s="410"/>
      <c r="D604" s="410"/>
      <c r="E604" s="410"/>
      <c r="F604" s="410"/>
      <c r="G604" s="780"/>
      <c r="H604" s="781"/>
      <c r="I604" s="410"/>
    </row>
    <row r="605" ht="18.0" customHeight="1">
      <c r="A605" s="410"/>
      <c r="B605" s="410"/>
      <c r="C605" s="410"/>
      <c r="D605" s="410"/>
      <c r="E605" s="410"/>
      <c r="F605" s="410"/>
      <c r="G605" s="780"/>
      <c r="H605" s="781"/>
      <c r="I605" s="410"/>
    </row>
    <row r="606" ht="18.0" customHeight="1">
      <c r="A606" s="410"/>
      <c r="B606" s="410"/>
      <c r="C606" s="410"/>
      <c r="D606" s="410"/>
      <c r="E606" s="410"/>
      <c r="F606" s="410"/>
      <c r="G606" s="780"/>
      <c r="H606" s="781"/>
      <c r="I606" s="410"/>
    </row>
    <row r="607" ht="18.0" customHeight="1">
      <c r="A607" s="410"/>
      <c r="B607" s="410"/>
      <c r="C607" s="410"/>
      <c r="D607" s="410"/>
      <c r="E607" s="410"/>
      <c r="F607" s="410"/>
      <c r="G607" s="780"/>
      <c r="H607" s="781"/>
      <c r="I607" s="410"/>
    </row>
    <row r="608" ht="18.0" customHeight="1">
      <c r="A608" s="410"/>
      <c r="B608" s="410"/>
      <c r="C608" s="410"/>
      <c r="D608" s="410"/>
      <c r="E608" s="410"/>
      <c r="F608" s="410"/>
      <c r="G608" s="780"/>
      <c r="H608" s="781"/>
      <c r="I608" s="410"/>
    </row>
    <row r="609" ht="18.0" customHeight="1">
      <c r="A609" s="410"/>
      <c r="B609" s="410"/>
      <c r="C609" s="410"/>
      <c r="D609" s="410"/>
      <c r="E609" s="410"/>
      <c r="F609" s="410"/>
      <c r="G609" s="780"/>
      <c r="H609" s="781"/>
      <c r="I609" s="410"/>
    </row>
    <row r="610" ht="18.0" customHeight="1">
      <c r="A610" s="410"/>
      <c r="B610" s="410"/>
      <c r="C610" s="410"/>
      <c r="D610" s="410"/>
      <c r="E610" s="410"/>
      <c r="F610" s="410"/>
      <c r="G610" s="780"/>
      <c r="H610" s="781"/>
      <c r="I610" s="410"/>
    </row>
    <row r="611" ht="18.0" customHeight="1">
      <c r="A611" s="410"/>
      <c r="B611" s="410"/>
      <c r="C611" s="410"/>
      <c r="D611" s="410"/>
      <c r="E611" s="410"/>
      <c r="F611" s="410"/>
      <c r="G611" s="780"/>
      <c r="H611" s="781"/>
      <c r="I611" s="410"/>
    </row>
    <row r="612" ht="18.0" customHeight="1">
      <c r="A612" s="410"/>
      <c r="B612" s="410"/>
      <c r="C612" s="410"/>
      <c r="D612" s="410"/>
      <c r="E612" s="410"/>
      <c r="F612" s="410"/>
      <c r="G612" s="780"/>
      <c r="H612" s="781"/>
      <c r="I612" s="410"/>
    </row>
    <row r="613" ht="18.0" customHeight="1">
      <c r="A613" s="410"/>
      <c r="B613" s="410"/>
      <c r="C613" s="410"/>
      <c r="D613" s="410"/>
      <c r="E613" s="410"/>
      <c r="F613" s="410"/>
      <c r="G613" s="780"/>
      <c r="H613" s="781"/>
      <c r="I613" s="410"/>
    </row>
    <row r="614" ht="18.0" customHeight="1">
      <c r="A614" s="410"/>
      <c r="B614" s="410"/>
      <c r="C614" s="410"/>
      <c r="D614" s="410"/>
      <c r="E614" s="410"/>
      <c r="F614" s="410"/>
      <c r="G614" s="780"/>
      <c r="H614" s="781"/>
      <c r="I614" s="410"/>
    </row>
    <row r="615" ht="18.0" customHeight="1">
      <c r="A615" s="410"/>
      <c r="B615" s="410"/>
      <c r="C615" s="410"/>
      <c r="D615" s="410"/>
      <c r="E615" s="410"/>
      <c r="F615" s="410"/>
      <c r="G615" s="780"/>
      <c r="H615" s="781"/>
      <c r="I615" s="410"/>
    </row>
    <row r="616" ht="18.0" customHeight="1">
      <c r="A616" s="410"/>
      <c r="B616" s="410"/>
      <c r="C616" s="410"/>
      <c r="D616" s="410"/>
      <c r="E616" s="410"/>
      <c r="F616" s="410"/>
      <c r="G616" s="780"/>
      <c r="H616" s="781"/>
      <c r="I616" s="410"/>
    </row>
    <row r="617" ht="18.0" customHeight="1">
      <c r="A617" s="410"/>
      <c r="B617" s="410"/>
      <c r="C617" s="410"/>
      <c r="D617" s="410"/>
      <c r="E617" s="410"/>
      <c r="F617" s="410"/>
      <c r="G617" s="780"/>
      <c r="H617" s="781"/>
      <c r="I617" s="410"/>
    </row>
    <row r="618" ht="18.0" customHeight="1">
      <c r="A618" s="410"/>
      <c r="B618" s="410"/>
      <c r="C618" s="410"/>
      <c r="D618" s="410"/>
      <c r="E618" s="410"/>
      <c r="F618" s="410"/>
      <c r="G618" s="780"/>
      <c r="H618" s="781"/>
      <c r="I618" s="410"/>
    </row>
    <row r="619" ht="18.0" customHeight="1">
      <c r="A619" s="410"/>
      <c r="B619" s="410"/>
      <c r="C619" s="410"/>
      <c r="D619" s="410"/>
      <c r="E619" s="410"/>
      <c r="F619" s="410"/>
      <c r="G619" s="780"/>
      <c r="H619" s="781"/>
      <c r="I619" s="410"/>
    </row>
    <row r="620" ht="18.0" customHeight="1">
      <c r="A620" s="410"/>
      <c r="B620" s="410"/>
      <c r="C620" s="410"/>
      <c r="D620" s="410"/>
      <c r="E620" s="410"/>
      <c r="F620" s="410"/>
      <c r="G620" s="780"/>
      <c r="H620" s="781"/>
      <c r="I620" s="410"/>
    </row>
    <row r="621" ht="18.0" customHeight="1">
      <c r="A621" s="410"/>
      <c r="B621" s="410"/>
      <c r="C621" s="410"/>
      <c r="D621" s="410"/>
      <c r="E621" s="410"/>
      <c r="F621" s="410"/>
      <c r="G621" s="780"/>
      <c r="H621" s="781"/>
      <c r="I621" s="410"/>
    </row>
    <row r="622" ht="18.0" customHeight="1">
      <c r="A622" s="410"/>
      <c r="B622" s="410"/>
      <c r="C622" s="410"/>
      <c r="D622" s="410"/>
      <c r="E622" s="410"/>
      <c r="F622" s="410"/>
      <c r="G622" s="780"/>
      <c r="H622" s="781"/>
      <c r="I622" s="410"/>
    </row>
    <row r="623" ht="18.0" customHeight="1">
      <c r="A623" s="410"/>
      <c r="B623" s="410"/>
      <c r="C623" s="410"/>
      <c r="D623" s="410"/>
      <c r="E623" s="410"/>
      <c r="F623" s="410"/>
      <c r="G623" s="780"/>
      <c r="H623" s="781"/>
      <c r="I623" s="410"/>
    </row>
    <row r="624" ht="18.0" customHeight="1">
      <c r="A624" s="410"/>
      <c r="B624" s="410"/>
      <c r="C624" s="410"/>
      <c r="D624" s="410"/>
      <c r="E624" s="410"/>
      <c r="F624" s="410"/>
      <c r="G624" s="780"/>
      <c r="H624" s="781"/>
      <c r="I624" s="410"/>
    </row>
    <row r="625" ht="18.0" customHeight="1">
      <c r="A625" s="410"/>
      <c r="B625" s="410"/>
      <c r="C625" s="410"/>
      <c r="D625" s="410"/>
      <c r="E625" s="410"/>
      <c r="F625" s="410"/>
      <c r="G625" s="780"/>
      <c r="H625" s="781"/>
      <c r="I625" s="410"/>
    </row>
    <row r="626" ht="18.0" customHeight="1">
      <c r="A626" s="410"/>
      <c r="B626" s="410"/>
      <c r="C626" s="410"/>
      <c r="D626" s="410"/>
      <c r="E626" s="410"/>
      <c r="F626" s="410"/>
      <c r="G626" s="780"/>
      <c r="H626" s="781"/>
      <c r="I626" s="410"/>
    </row>
    <row r="627" ht="18.0" customHeight="1">
      <c r="A627" s="410"/>
      <c r="B627" s="410"/>
      <c r="C627" s="410"/>
      <c r="D627" s="410"/>
      <c r="E627" s="410"/>
      <c r="F627" s="410"/>
      <c r="G627" s="780"/>
      <c r="H627" s="781"/>
      <c r="I627" s="410"/>
    </row>
    <row r="628" ht="18.0" customHeight="1">
      <c r="A628" s="410"/>
      <c r="B628" s="410"/>
      <c r="C628" s="410"/>
      <c r="D628" s="410"/>
      <c r="E628" s="410"/>
      <c r="F628" s="410"/>
      <c r="G628" s="780"/>
      <c r="H628" s="781"/>
      <c r="I628" s="410"/>
    </row>
    <row r="629" ht="18.0" customHeight="1">
      <c r="A629" s="410"/>
      <c r="B629" s="410"/>
      <c r="C629" s="410"/>
      <c r="D629" s="410"/>
      <c r="E629" s="410"/>
      <c r="F629" s="410"/>
      <c r="G629" s="780"/>
      <c r="H629" s="781"/>
      <c r="I629" s="410"/>
    </row>
    <row r="630" ht="18.0" customHeight="1">
      <c r="A630" s="410"/>
      <c r="B630" s="410"/>
      <c r="C630" s="410"/>
      <c r="D630" s="410"/>
      <c r="E630" s="410"/>
      <c r="F630" s="410"/>
      <c r="G630" s="780"/>
      <c r="H630" s="781"/>
      <c r="I630" s="410"/>
    </row>
    <row r="631" ht="18.0" customHeight="1">
      <c r="A631" s="410"/>
      <c r="B631" s="410"/>
      <c r="C631" s="410"/>
      <c r="D631" s="410"/>
      <c r="E631" s="410"/>
      <c r="F631" s="410"/>
      <c r="G631" s="780"/>
      <c r="H631" s="781"/>
      <c r="I631" s="410"/>
    </row>
    <row r="632" ht="18.0" customHeight="1">
      <c r="A632" s="410"/>
      <c r="B632" s="410"/>
      <c r="C632" s="410"/>
      <c r="D632" s="410"/>
      <c r="E632" s="410"/>
      <c r="F632" s="410"/>
      <c r="G632" s="780"/>
      <c r="H632" s="781"/>
      <c r="I632" s="410"/>
    </row>
    <row r="633" ht="18.0" customHeight="1">
      <c r="A633" s="410"/>
      <c r="B633" s="410"/>
      <c r="C633" s="410"/>
      <c r="D633" s="410"/>
      <c r="E633" s="410"/>
      <c r="F633" s="410"/>
      <c r="G633" s="780"/>
      <c r="H633" s="781"/>
      <c r="I633" s="410"/>
    </row>
    <row r="634" ht="18.0" customHeight="1">
      <c r="A634" s="410"/>
      <c r="B634" s="410"/>
      <c r="C634" s="410"/>
      <c r="D634" s="410"/>
      <c r="E634" s="410"/>
      <c r="F634" s="410"/>
      <c r="G634" s="780"/>
      <c r="H634" s="781"/>
      <c r="I634" s="410"/>
    </row>
    <row r="635" ht="18.0" customHeight="1">
      <c r="A635" s="410"/>
      <c r="B635" s="410"/>
      <c r="C635" s="410"/>
      <c r="D635" s="410"/>
      <c r="E635" s="410"/>
      <c r="F635" s="410"/>
      <c r="G635" s="780"/>
      <c r="H635" s="781"/>
      <c r="I635" s="410"/>
    </row>
    <row r="636" ht="18.0" customHeight="1">
      <c r="A636" s="410"/>
      <c r="B636" s="410"/>
      <c r="C636" s="410"/>
      <c r="D636" s="410"/>
      <c r="E636" s="410"/>
      <c r="F636" s="410"/>
      <c r="G636" s="780"/>
      <c r="H636" s="781"/>
      <c r="I636" s="410"/>
    </row>
    <row r="637" ht="18.0" customHeight="1">
      <c r="A637" s="410"/>
      <c r="B637" s="410"/>
      <c r="C637" s="410"/>
      <c r="D637" s="410"/>
      <c r="E637" s="410"/>
      <c r="F637" s="410"/>
      <c r="G637" s="780"/>
      <c r="H637" s="781"/>
      <c r="I637" s="410"/>
    </row>
    <row r="638" ht="18.0" customHeight="1">
      <c r="A638" s="410"/>
      <c r="B638" s="410"/>
      <c r="C638" s="410"/>
      <c r="D638" s="410"/>
      <c r="E638" s="410"/>
      <c r="F638" s="410"/>
      <c r="G638" s="780"/>
      <c r="H638" s="781"/>
      <c r="I638" s="410"/>
    </row>
    <row r="639" ht="18.0" customHeight="1">
      <c r="A639" s="410"/>
      <c r="B639" s="410"/>
      <c r="C639" s="410"/>
      <c r="D639" s="410"/>
      <c r="E639" s="410"/>
      <c r="F639" s="410"/>
      <c r="G639" s="780"/>
      <c r="H639" s="781"/>
      <c r="I639" s="410"/>
    </row>
    <row r="640" ht="18.0" customHeight="1">
      <c r="A640" s="410"/>
      <c r="B640" s="410"/>
      <c r="C640" s="410"/>
      <c r="D640" s="410"/>
      <c r="E640" s="410"/>
      <c r="F640" s="410"/>
      <c r="G640" s="780"/>
      <c r="H640" s="781"/>
      <c r="I640" s="410"/>
    </row>
    <row r="641" ht="18.0" customHeight="1">
      <c r="A641" s="410"/>
      <c r="B641" s="410"/>
      <c r="C641" s="410"/>
      <c r="D641" s="410"/>
      <c r="E641" s="410"/>
      <c r="F641" s="410"/>
      <c r="G641" s="780"/>
      <c r="H641" s="781"/>
      <c r="I641" s="410"/>
    </row>
    <row r="642" ht="18.0" customHeight="1">
      <c r="A642" s="410"/>
      <c r="B642" s="410"/>
      <c r="C642" s="410"/>
      <c r="D642" s="410"/>
      <c r="E642" s="410"/>
      <c r="F642" s="410"/>
      <c r="G642" s="780"/>
      <c r="H642" s="781"/>
      <c r="I642" s="410"/>
    </row>
    <row r="643" ht="18.0" customHeight="1">
      <c r="A643" s="410"/>
      <c r="B643" s="410"/>
      <c r="C643" s="410"/>
      <c r="D643" s="410"/>
      <c r="E643" s="410"/>
      <c r="F643" s="410"/>
      <c r="G643" s="780"/>
      <c r="H643" s="781"/>
      <c r="I643" s="410"/>
    </row>
    <row r="644" ht="18.0" customHeight="1">
      <c r="A644" s="410"/>
      <c r="B644" s="410"/>
      <c r="C644" s="410"/>
      <c r="D644" s="410"/>
      <c r="E644" s="410"/>
      <c r="F644" s="410"/>
      <c r="G644" s="780"/>
      <c r="H644" s="781"/>
      <c r="I644" s="410"/>
    </row>
    <row r="645" ht="18.0" customHeight="1">
      <c r="A645" s="410"/>
      <c r="B645" s="410"/>
      <c r="C645" s="410"/>
      <c r="D645" s="410"/>
      <c r="E645" s="410"/>
      <c r="F645" s="410"/>
      <c r="G645" s="780"/>
      <c r="H645" s="781"/>
      <c r="I645" s="410"/>
    </row>
    <row r="646" ht="18.0" customHeight="1">
      <c r="A646" s="410"/>
      <c r="B646" s="410"/>
      <c r="C646" s="410"/>
      <c r="D646" s="410"/>
      <c r="E646" s="410"/>
      <c r="F646" s="410"/>
      <c r="G646" s="780"/>
      <c r="H646" s="781"/>
      <c r="I646" s="410"/>
    </row>
    <row r="647" ht="18.0" customHeight="1">
      <c r="A647" s="410"/>
      <c r="B647" s="410"/>
      <c r="C647" s="410"/>
      <c r="D647" s="410"/>
      <c r="E647" s="410"/>
      <c r="F647" s="410"/>
      <c r="G647" s="780"/>
      <c r="H647" s="781"/>
      <c r="I647" s="410"/>
    </row>
    <row r="648" ht="18.0" customHeight="1">
      <c r="A648" s="410"/>
      <c r="B648" s="410"/>
      <c r="C648" s="410"/>
      <c r="D648" s="410"/>
      <c r="E648" s="410"/>
      <c r="F648" s="410"/>
      <c r="G648" s="780"/>
      <c r="H648" s="781"/>
      <c r="I648" s="410"/>
    </row>
    <row r="649" ht="18.0" customHeight="1">
      <c r="A649" s="410"/>
      <c r="B649" s="410"/>
      <c r="C649" s="410"/>
      <c r="D649" s="410"/>
      <c r="E649" s="410"/>
      <c r="F649" s="410"/>
      <c r="G649" s="780"/>
      <c r="H649" s="781"/>
      <c r="I649" s="410"/>
    </row>
    <row r="650" ht="18.0" customHeight="1">
      <c r="A650" s="410"/>
      <c r="B650" s="410"/>
      <c r="C650" s="410"/>
      <c r="D650" s="410"/>
      <c r="E650" s="410"/>
      <c r="F650" s="410"/>
      <c r="G650" s="780"/>
      <c r="H650" s="781"/>
      <c r="I650" s="410"/>
    </row>
    <row r="651" ht="18.0" customHeight="1">
      <c r="A651" s="410"/>
      <c r="B651" s="410"/>
      <c r="C651" s="410"/>
      <c r="D651" s="410"/>
      <c r="E651" s="410"/>
      <c r="F651" s="410"/>
      <c r="G651" s="780"/>
      <c r="H651" s="781"/>
      <c r="I651" s="410"/>
    </row>
    <row r="652" ht="18.0" customHeight="1">
      <c r="A652" s="410"/>
      <c r="B652" s="410"/>
      <c r="C652" s="410"/>
      <c r="D652" s="410"/>
      <c r="E652" s="410"/>
      <c r="F652" s="410"/>
      <c r="G652" s="780"/>
      <c r="H652" s="781"/>
      <c r="I652" s="410"/>
    </row>
    <row r="653" ht="18.0" customHeight="1">
      <c r="A653" s="410"/>
      <c r="B653" s="410"/>
      <c r="C653" s="410"/>
      <c r="D653" s="410"/>
      <c r="E653" s="410"/>
      <c r="F653" s="410"/>
      <c r="G653" s="780"/>
      <c r="H653" s="781"/>
      <c r="I653" s="410"/>
    </row>
    <row r="654" ht="18.0" customHeight="1">
      <c r="A654" s="410"/>
      <c r="B654" s="410"/>
      <c r="C654" s="410"/>
      <c r="D654" s="410"/>
      <c r="E654" s="410"/>
      <c r="F654" s="410"/>
      <c r="G654" s="780"/>
      <c r="H654" s="781"/>
      <c r="I654" s="410"/>
    </row>
    <row r="655" ht="18.0" customHeight="1">
      <c r="A655" s="410"/>
      <c r="B655" s="410"/>
      <c r="C655" s="410"/>
      <c r="D655" s="410"/>
      <c r="E655" s="410"/>
      <c r="F655" s="410"/>
      <c r="G655" s="780"/>
      <c r="H655" s="781"/>
      <c r="I655" s="410"/>
    </row>
    <row r="656" ht="18.0" customHeight="1">
      <c r="A656" s="410"/>
      <c r="B656" s="410"/>
      <c r="C656" s="410"/>
      <c r="D656" s="410"/>
      <c r="E656" s="410"/>
      <c r="F656" s="410"/>
      <c r="G656" s="780"/>
      <c r="H656" s="781"/>
      <c r="I656" s="410"/>
    </row>
    <row r="657" ht="18.0" customHeight="1">
      <c r="A657" s="410"/>
      <c r="B657" s="410"/>
      <c r="C657" s="410"/>
      <c r="D657" s="410"/>
      <c r="E657" s="410"/>
      <c r="F657" s="410"/>
      <c r="G657" s="780"/>
      <c r="H657" s="781"/>
      <c r="I657" s="410"/>
    </row>
    <row r="658" ht="18.0" customHeight="1">
      <c r="A658" s="410"/>
      <c r="B658" s="410"/>
      <c r="C658" s="410"/>
      <c r="D658" s="410"/>
      <c r="E658" s="410"/>
      <c r="F658" s="410"/>
      <c r="G658" s="780"/>
      <c r="H658" s="781"/>
      <c r="I658" s="410"/>
    </row>
    <row r="659" ht="18.0" customHeight="1">
      <c r="A659" s="410"/>
      <c r="B659" s="410"/>
      <c r="C659" s="410"/>
      <c r="D659" s="410"/>
      <c r="E659" s="410"/>
      <c r="F659" s="410"/>
      <c r="G659" s="780"/>
      <c r="H659" s="781"/>
      <c r="I659" s="410"/>
    </row>
    <row r="660" ht="18.0" customHeight="1">
      <c r="A660" s="410"/>
      <c r="B660" s="410"/>
      <c r="C660" s="410"/>
      <c r="D660" s="410"/>
      <c r="E660" s="410"/>
      <c r="F660" s="410"/>
      <c r="G660" s="780"/>
      <c r="H660" s="781"/>
      <c r="I660" s="410"/>
    </row>
    <row r="661" ht="18.0" customHeight="1">
      <c r="A661" s="410"/>
      <c r="B661" s="410"/>
      <c r="C661" s="410"/>
      <c r="D661" s="410"/>
      <c r="E661" s="410"/>
      <c r="F661" s="410"/>
      <c r="G661" s="780"/>
      <c r="H661" s="781"/>
      <c r="I661" s="410"/>
    </row>
    <row r="662" ht="18.0" customHeight="1">
      <c r="A662" s="410"/>
      <c r="B662" s="410"/>
      <c r="C662" s="410"/>
      <c r="D662" s="410"/>
      <c r="E662" s="410"/>
      <c r="F662" s="410"/>
      <c r="G662" s="780"/>
      <c r="H662" s="781"/>
      <c r="I662" s="410"/>
    </row>
    <row r="663" ht="18.0" customHeight="1">
      <c r="A663" s="410"/>
      <c r="B663" s="410"/>
      <c r="C663" s="410"/>
      <c r="D663" s="410"/>
      <c r="E663" s="410"/>
      <c r="F663" s="410"/>
      <c r="G663" s="780"/>
      <c r="H663" s="781"/>
      <c r="I663" s="410"/>
    </row>
    <row r="664" ht="18.0" customHeight="1">
      <c r="A664" s="410"/>
      <c r="B664" s="410"/>
      <c r="C664" s="410"/>
      <c r="D664" s="410"/>
      <c r="E664" s="410"/>
      <c r="F664" s="410"/>
      <c r="G664" s="780"/>
      <c r="H664" s="781"/>
      <c r="I664" s="410"/>
    </row>
    <row r="665" ht="18.0" customHeight="1">
      <c r="A665" s="410"/>
      <c r="B665" s="410"/>
      <c r="C665" s="410"/>
      <c r="D665" s="410"/>
      <c r="E665" s="410"/>
      <c r="F665" s="410"/>
      <c r="G665" s="780"/>
      <c r="H665" s="781"/>
      <c r="I665" s="410"/>
    </row>
    <row r="666" ht="18.0" customHeight="1">
      <c r="A666" s="410"/>
      <c r="B666" s="410"/>
      <c r="C666" s="410"/>
      <c r="D666" s="410"/>
      <c r="E666" s="410"/>
      <c r="F666" s="410"/>
      <c r="G666" s="780"/>
      <c r="H666" s="781"/>
      <c r="I666" s="410"/>
    </row>
    <row r="667" ht="18.0" customHeight="1">
      <c r="A667" s="410"/>
      <c r="B667" s="410"/>
      <c r="C667" s="410"/>
      <c r="D667" s="410"/>
      <c r="E667" s="410"/>
      <c r="F667" s="410"/>
      <c r="G667" s="780"/>
      <c r="H667" s="781"/>
      <c r="I667" s="410"/>
    </row>
    <row r="668" ht="18.0" customHeight="1">
      <c r="A668" s="410"/>
      <c r="B668" s="410"/>
      <c r="C668" s="410"/>
      <c r="D668" s="410"/>
      <c r="E668" s="410"/>
      <c r="F668" s="410"/>
      <c r="G668" s="780"/>
      <c r="H668" s="781"/>
      <c r="I668" s="410"/>
    </row>
    <row r="669" ht="18.0" customHeight="1">
      <c r="A669" s="410"/>
      <c r="B669" s="410"/>
      <c r="C669" s="410"/>
      <c r="D669" s="410"/>
      <c r="E669" s="410"/>
      <c r="F669" s="410"/>
      <c r="G669" s="780"/>
      <c r="H669" s="781"/>
      <c r="I669" s="410"/>
    </row>
    <row r="670" ht="18.0" customHeight="1">
      <c r="A670" s="410"/>
      <c r="B670" s="410"/>
      <c r="C670" s="410"/>
      <c r="D670" s="410"/>
      <c r="E670" s="410"/>
      <c r="F670" s="410"/>
      <c r="G670" s="780"/>
      <c r="H670" s="781"/>
      <c r="I670" s="410"/>
    </row>
    <row r="671" ht="18.0" customHeight="1">
      <c r="A671" s="410"/>
      <c r="B671" s="410"/>
      <c r="C671" s="410"/>
      <c r="D671" s="410"/>
      <c r="E671" s="410"/>
      <c r="F671" s="410"/>
      <c r="G671" s="780"/>
      <c r="H671" s="781"/>
      <c r="I671" s="410"/>
    </row>
    <row r="672" ht="18.0" customHeight="1">
      <c r="A672" s="410"/>
      <c r="B672" s="410"/>
      <c r="C672" s="410"/>
      <c r="D672" s="410"/>
      <c r="E672" s="410"/>
      <c r="F672" s="410"/>
      <c r="G672" s="780"/>
      <c r="H672" s="781"/>
      <c r="I672" s="410"/>
    </row>
    <row r="673" ht="18.0" customHeight="1">
      <c r="A673" s="410"/>
      <c r="B673" s="410"/>
      <c r="C673" s="410"/>
      <c r="D673" s="410"/>
      <c r="E673" s="410"/>
      <c r="F673" s="410"/>
      <c r="G673" s="780"/>
      <c r="H673" s="781"/>
      <c r="I673" s="410"/>
    </row>
    <row r="674" ht="18.0" customHeight="1">
      <c r="A674" s="410"/>
      <c r="B674" s="410"/>
      <c r="C674" s="410"/>
      <c r="D674" s="410"/>
      <c r="E674" s="410"/>
      <c r="F674" s="410"/>
      <c r="G674" s="780"/>
      <c r="H674" s="781"/>
      <c r="I674" s="410"/>
    </row>
    <row r="675" ht="18.0" customHeight="1">
      <c r="A675" s="410"/>
      <c r="B675" s="410"/>
      <c r="C675" s="410"/>
      <c r="D675" s="410"/>
      <c r="E675" s="410"/>
      <c r="F675" s="410"/>
      <c r="G675" s="780"/>
      <c r="H675" s="781"/>
      <c r="I675" s="410"/>
    </row>
    <row r="676" ht="18.0" customHeight="1">
      <c r="A676" s="410"/>
      <c r="B676" s="410"/>
      <c r="C676" s="410"/>
      <c r="D676" s="410"/>
      <c r="E676" s="410"/>
      <c r="F676" s="410"/>
      <c r="G676" s="780"/>
      <c r="H676" s="781"/>
      <c r="I676" s="410"/>
    </row>
    <row r="677" ht="18.0" customHeight="1">
      <c r="A677" s="410"/>
      <c r="B677" s="410"/>
      <c r="C677" s="410"/>
      <c r="D677" s="410"/>
      <c r="E677" s="410"/>
      <c r="F677" s="410"/>
      <c r="G677" s="780"/>
      <c r="H677" s="781"/>
      <c r="I677" s="410"/>
    </row>
    <row r="678" ht="18.0" customHeight="1">
      <c r="A678" s="410"/>
      <c r="B678" s="410"/>
      <c r="C678" s="410"/>
      <c r="D678" s="410"/>
      <c r="E678" s="410"/>
      <c r="F678" s="410"/>
      <c r="G678" s="780"/>
      <c r="H678" s="781"/>
      <c r="I678" s="410"/>
    </row>
    <row r="679" ht="18.0" customHeight="1">
      <c r="A679" s="410"/>
      <c r="B679" s="410"/>
      <c r="C679" s="410"/>
      <c r="D679" s="410"/>
      <c r="E679" s="410"/>
      <c r="F679" s="410"/>
      <c r="G679" s="780"/>
      <c r="H679" s="781"/>
      <c r="I679" s="410"/>
    </row>
    <row r="680" ht="18.0" customHeight="1">
      <c r="A680" s="410"/>
      <c r="B680" s="410"/>
      <c r="C680" s="410"/>
      <c r="D680" s="410"/>
      <c r="E680" s="410"/>
      <c r="F680" s="410"/>
      <c r="G680" s="780"/>
      <c r="H680" s="781"/>
      <c r="I680" s="410"/>
    </row>
    <row r="681" ht="18.0" customHeight="1">
      <c r="A681" s="410"/>
      <c r="B681" s="410"/>
      <c r="C681" s="410"/>
      <c r="D681" s="410"/>
      <c r="E681" s="410"/>
      <c r="F681" s="410"/>
      <c r="G681" s="780"/>
      <c r="H681" s="781"/>
      <c r="I681" s="410"/>
    </row>
    <row r="682" ht="18.0" customHeight="1">
      <c r="A682" s="410"/>
      <c r="B682" s="410"/>
      <c r="C682" s="410"/>
      <c r="D682" s="410"/>
      <c r="E682" s="410"/>
      <c r="F682" s="410"/>
      <c r="G682" s="780"/>
      <c r="H682" s="781"/>
      <c r="I682" s="410"/>
    </row>
    <row r="683" ht="18.0" customHeight="1">
      <c r="A683" s="410"/>
      <c r="B683" s="410"/>
      <c r="C683" s="410"/>
      <c r="D683" s="410"/>
      <c r="E683" s="410"/>
      <c r="F683" s="410"/>
      <c r="G683" s="780"/>
      <c r="H683" s="781"/>
      <c r="I683" s="410"/>
    </row>
    <row r="684" ht="18.0" customHeight="1">
      <c r="A684" s="410"/>
      <c r="B684" s="410"/>
      <c r="C684" s="410"/>
      <c r="D684" s="410"/>
      <c r="E684" s="410"/>
      <c r="F684" s="410"/>
      <c r="G684" s="780"/>
      <c r="H684" s="781"/>
      <c r="I684" s="410"/>
    </row>
    <row r="685" ht="18.0" customHeight="1">
      <c r="A685" s="410"/>
      <c r="B685" s="410"/>
      <c r="C685" s="410"/>
      <c r="D685" s="410"/>
      <c r="E685" s="410"/>
      <c r="F685" s="410"/>
      <c r="G685" s="780"/>
      <c r="H685" s="781"/>
      <c r="I685" s="410"/>
    </row>
    <row r="686" ht="18.0" customHeight="1">
      <c r="A686" s="410"/>
      <c r="B686" s="410"/>
      <c r="C686" s="410"/>
      <c r="D686" s="410"/>
      <c r="E686" s="410"/>
      <c r="F686" s="410"/>
      <c r="G686" s="780"/>
      <c r="H686" s="781"/>
      <c r="I686" s="410"/>
    </row>
    <row r="687" ht="18.0" customHeight="1">
      <c r="A687" s="410"/>
      <c r="B687" s="410"/>
      <c r="C687" s="410"/>
      <c r="D687" s="410"/>
      <c r="E687" s="410"/>
      <c r="F687" s="410"/>
      <c r="G687" s="780"/>
      <c r="H687" s="781"/>
      <c r="I687" s="410"/>
    </row>
    <row r="688" ht="18.0" customHeight="1">
      <c r="A688" s="410"/>
      <c r="B688" s="410"/>
      <c r="C688" s="410"/>
      <c r="D688" s="410"/>
      <c r="E688" s="410"/>
      <c r="F688" s="410"/>
      <c r="G688" s="780"/>
      <c r="H688" s="781"/>
      <c r="I688" s="410"/>
    </row>
    <row r="689" ht="18.0" customHeight="1">
      <c r="A689" s="410"/>
      <c r="B689" s="410"/>
      <c r="C689" s="410"/>
      <c r="D689" s="410"/>
      <c r="E689" s="410"/>
      <c r="F689" s="410"/>
      <c r="G689" s="780"/>
      <c r="H689" s="781"/>
      <c r="I689" s="410"/>
    </row>
    <row r="690" ht="18.0" customHeight="1">
      <c r="A690" s="410"/>
      <c r="B690" s="410"/>
      <c r="C690" s="410"/>
      <c r="D690" s="410"/>
      <c r="E690" s="410"/>
      <c r="F690" s="410"/>
      <c r="G690" s="780"/>
      <c r="H690" s="781"/>
      <c r="I690" s="410"/>
    </row>
    <row r="691" ht="18.0" customHeight="1">
      <c r="A691" s="410"/>
      <c r="B691" s="410"/>
      <c r="C691" s="410"/>
      <c r="D691" s="410"/>
      <c r="E691" s="410"/>
      <c r="F691" s="410"/>
      <c r="G691" s="780"/>
      <c r="H691" s="781"/>
      <c r="I691" s="410"/>
    </row>
    <row r="692" ht="18.0" customHeight="1">
      <c r="A692" s="410"/>
      <c r="B692" s="410"/>
      <c r="C692" s="410"/>
      <c r="D692" s="410"/>
      <c r="E692" s="410"/>
      <c r="F692" s="410"/>
      <c r="G692" s="780"/>
      <c r="H692" s="781"/>
      <c r="I692" s="410"/>
    </row>
    <row r="693" ht="18.0" customHeight="1">
      <c r="A693" s="410"/>
      <c r="B693" s="410"/>
      <c r="C693" s="410"/>
      <c r="D693" s="410"/>
      <c r="E693" s="410"/>
      <c r="F693" s="410"/>
      <c r="G693" s="780"/>
      <c r="H693" s="781"/>
      <c r="I693" s="410"/>
    </row>
    <row r="694" ht="18.0" customHeight="1">
      <c r="A694" s="410"/>
      <c r="B694" s="410"/>
      <c r="C694" s="410"/>
      <c r="D694" s="410"/>
      <c r="E694" s="410"/>
      <c r="F694" s="410"/>
      <c r="G694" s="780"/>
      <c r="H694" s="781"/>
      <c r="I694" s="410"/>
    </row>
    <row r="695" ht="18.0" customHeight="1">
      <c r="A695" s="410"/>
      <c r="B695" s="410"/>
      <c r="C695" s="410"/>
      <c r="D695" s="410"/>
      <c r="E695" s="410"/>
      <c r="F695" s="410"/>
      <c r="G695" s="780"/>
      <c r="H695" s="781"/>
      <c r="I695" s="410"/>
    </row>
    <row r="696" ht="18.0" customHeight="1">
      <c r="A696" s="410"/>
      <c r="B696" s="410"/>
      <c r="C696" s="410"/>
      <c r="D696" s="410"/>
      <c r="E696" s="410"/>
      <c r="F696" s="410"/>
      <c r="G696" s="780"/>
      <c r="H696" s="781"/>
      <c r="I696" s="410"/>
    </row>
    <row r="697" ht="18.0" customHeight="1">
      <c r="A697" s="410"/>
      <c r="B697" s="410"/>
      <c r="C697" s="410"/>
      <c r="D697" s="410"/>
      <c r="E697" s="410"/>
      <c r="F697" s="410"/>
      <c r="G697" s="780"/>
      <c r="H697" s="781"/>
      <c r="I697" s="410"/>
    </row>
    <row r="698" ht="18.0" customHeight="1">
      <c r="A698" s="410"/>
      <c r="B698" s="410"/>
      <c r="C698" s="410"/>
      <c r="D698" s="410"/>
      <c r="E698" s="410"/>
      <c r="F698" s="410"/>
      <c r="G698" s="780"/>
      <c r="H698" s="781"/>
      <c r="I698" s="410"/>
    </row>
    <row r="699" ht="18.0" customHeight="1">
      <c r="A699" s="410"/>
      <c r="B699" s="410"/>
      <c r="C699" s="410"/>
      <c r="D699" s="410"/>
      <c r="E699" s="410"/>
      <c r="F699" s="410"/>
      <c r="G699" s="780"/>
      <c r="H699" s="781"/>
      <c r="I699" s="410"/>
    </row>
    <row r="700" ht="18.0" customHeight="1">
      <c r="A700" s="410"/>
      <c r="B700" s="410"/>
      <c r="C700" s="410"/>
      <c r="D700" s="410"/>
      <c r="E700" s="410"/>
      <c r="F700" s="410"/>
      <c r="G700" s="780"/>
      <c r="H700" s="781"/>
      <c r="I700" s="410"/>
    </row>
    <row r="701" ht="18.0" customHeight="1">
      <c r="A701" s="410"/>
      <c r="B701" s="410"/>
      <c r="C701" s="410"/>
      <c r="D701" s="410"/>
      <c r="E701" s="410"/>
      <c r="F701" s="410"/>
      <c r="G701" s="780"/>
      <c r="H701" s="781"/>
      <c r="I701" s="410"/>
    </row>
    <row r="702" ht="18.0" customHeight="1">
      <c r="A702" s="410"/>
      <c r="B702" s="410"/>
      <c r="C702" s="410"/>
      <c r="D702" s="410"/>
      <c r="E702" s="410"/>
      <c r="F702" s="410"/>
      <c r="G702" s="780"/>
      <c r="H702" s="781"/>
      <c r="I702" s="410"/>
    </row>
    <row r="703" ht="18.0" customHeight="1">
      <c r="A703" s="410"/>
      <c r="B703" s="410"/>
      <c r="C703" s="410"/>
      <c r="D703" s="410"/>
      <c r="E703" s="410"/>
      <c r="F703" s="410"/>
      <c r="G703" s="780"/>
      <c r="H703" s="781"/>
      <c r="I703" s="410"/>
    </row>
    <row r="704" ht="18.0" customHeight="1">
      <c r="A704" s="410"/>
      <c r="B704" s="410"/>
      <c r="C704" s="410"/>
      <c r="D704" s="410"/>
      <c r="E704" s="410"/>
      <c r="F704" s="410"/>
      <c r="G704" s="780"/>
      <c r="H704" s="781"/>
      <c r="I704" s="410"/>
    </row>
    <row r="705" ht="18.0" customHeight="1">
      <c r="A705" s="410"/>
      <c r="B705" s="410"/>
      <c r="C705" s="410"/>
      <c r="D705" s="410"/>
      <c r="E705" s="410"/>
      <c r="F705" s="410"/>
      <c r="G705" s="780"/>
      <c r="H705" s="781"/>
      <c r="I705" s="410"/>
    </row>
    <row r="706" ht="18.0" customHeight="1">
      <c r="A706" s="410"/>
      <c r="B706" s="410"/>
      <c r="C706" s="410"/>
      <c r="D706" s="410"/>
      <c r="E706" s="410"/>
      <c r="F706" s="410"/>
      <c r="G706" s="780"/>
      <c r="H706" s="781"/>
      <c r="I706" s="410"/>
    </row>
    <row r="707" ht="18.0" customHeight="1">
      <c r="A707" s="410"/>
      <c r="B707" s="410"/>
      <c r="C707" s="410"/>
      <c r="D707" s="410"/>
      <c r="E707" s="410"/>
      <c r="F707" s="410"/>
      <c r="G707" s="780"/>
      <c r="H707" s="781"/>
      <c r="I707" s="410"/>
    </row>
    <row r="708" ht="18.0" customHeight="1">
      <c r="A708" s="410"/>
      <c r="B708" s="410"/>
      <c r="C708" s="410"/>
      <c r="D708" s="410"/>
      <c r="E708" s="410"/>
      <c r="F708" s="410"/>
      <c r="G708" s="780"/>
      <c r="H708" s="781"/>
      <c r="I708" s="410"/>
    </row>
    <row r="709" ht="18.0" customHeight="1">
      <c r="A709" s="410"/>
      <c r="B709" s="410"/>
      <c r="C709" s="410"/>
      <c r="D709" s="410"/>
      <c r="E709" s="410"/>
      <c r="F709" s="410"/>
      <c r="G709" s="780"/>
      <c r="H709" s="781"/>
      <c r="I709" s="410"/>
    </row>
    <row r="710" ht="18.0" customHeight="1">
      <c r="A710" s="410"/>
      <c r="B710" s="410"/>
      <c r="C710" s="410"/>
      <c r="D710" s="410"/>
      <c r="E710" s="410"/>
      <c r="F710" s="410"/>
      <c r="G710" s="780"/>
      <c r="H710" s="781"/>
      <c r="I710" s="410"/>
    </row>
    <row r="711" ht="18.0" customHeight="1">
      <c r="A711" s="410"/>
      <c r="B711" s="410"/>
      <c r="C711" s="410"/>
      <c r="D711" s="410"/>
      <c r="E711" s="410"/>
      <c r="F711" s="410"/>
      <c r="G711" s="780"/>
      <c r="H711" s="781"/>
      <c r="I711" s="410"/>
    </row>
    <row r="712" ht="18.0" customHeight="1">
      <c r="A712" s="410"/>
      <c r="B712" s="410"/>
      <c r="C712" s="410"/>
      <c r="D712" s="410"/>
      <c r="E712" s="410"/>
      <c r="F712" s="410"/>
      <c r="G712" s="780"/>
      <c r="H712" s="781"/>
      <c r="I712" s="410"/>
    </row>
    <row r="713" ht="18.0" customHeight="1">
      <c r="A713" s="410"/>
      <c r="B713" s="410"/>
      <c r="C713" s="410"/>
      <c r="D713" s="410"/>
      <c r="E713" s="410"/>
      <c r="F713" s="410"/>
      <c r="G713" s="780"/>
      <c r="H713" s="781"/>
      <c r="I713" s="410"/>
    </row>
    <row r="714" ht="18.0" customHeight="1">
      <c r="A714" s="410"/>
      <c r="B714" s="410"/>
      <c r="C714" s="410"/>
      <c r="D714" s="410"/>
      <c r="E714" s="410"/>
      <c r="F714" s="410"/>
      <c r="G714" s="780"/>
      <c r="H714" s="781"/>
      <c r="I714" s="410"/>
    </row>
    <row r="715" ht="18.0" customHeight="1">
      <c r="A715" s="410"/>
      <c r="B715" s="410"/>
      <c r="C715" s="410"/>
      <c r="D715" s="410"/>
      <c r="E715" s="410"/>
      <c r="F715" s="410"/>
      <c r="G715" s="780"/>
      <c r="H715" s="781"/>
      <c r="I715" s="410"/>
    </row>
    <row r="716" ht="18.0" customHeight="1">
      <c r="A716" s="410"/>
      <c r="B716" s="410"/>
      <c r="C716" s="410"/>
      <c r="D716" s="410"/>
      <c r="E716" s="410"/>
      <c r="F716" s="410"/>
      <c r="G716" s="780"/>
      <c r="H716" s="781"/>
      <c r="I716" s="410"/>
    </row>
    <row r="717" ht="18.0" customHeight="1">
      <c r="A717" s="410"/>
      <c r="B717" s="410"/>
      <c r="C717" s="410"/>
      <c r="D717" s="410"/>
      <c r="E717" s="410"/>
      <c r="F717" s="410"/>
      <c r="G717" s="780"/>
      <c r="H717" s="781"/>
      <c r="I717" s="410"/>
    </row>
    <row r="718" ht="18.0" customHeight="1">
      <c r="A718" s="410"/>
      <c r="B718" s="410"/>
      <c r="C718" s="410"/>
      <c r="D718" s="410"/>
      <c r="E718" s="410"/>
      <c r="F718" s="410"/>
      <c r="G718" s="780"/>
      <c r="H718" s="781"/>
      <c r="I718" s="410"/>
    </row>
    <row r="719" ht="18.0" customHeight="1">
      <c r="A719" s="410"/>
      <c r="B719" s="410"/>
      <c r="C719" s="410"/>
      <c r="D719" s="410"/>
      <c r="E719" s="410"/>
      <c r="F719" s="410"/>
      <c r="G719" s="780"/>
      <c r="H719" s="781"/>
      <c r="I719" s="410"/>
    </row>
    <row r="720" ht="18.0" customHeight="1">
      <c r="A720" s="410"/>
      <c r="B720" s="410"/>
      <c r="C720" s="410"/>
      <c r="D720" s="410"/>
      <c r="E720" s="410"/>
      <c r="F720" s="410"/>
      <c r="G720" s="780"/>
      <c r="H720" s="781"/>
      <c r="I720" s="410"/>
    </row>
    <row r="721" ht="18.0" customHeight="1">
      <c r="A721" s="410"/>
      <c r="B721" s="410"/>
      <c r="C721" s="410"/>
      <c r="D721" s="410"/>
      <c r="E721" s="410"/>
      <c r="F721" s="410"/>
      <c r="G721" s="780"/>
      <c r="H721" s="781"/>
      <c r="I721" s="410"/>
    </row>
    <row r="722" ht="18.0" customHeight="1">
      <c r="A722" s="410"/>
      <c r="B722" s="410"/>
      <c r="C722" s="410"/>
      <c r="D722" s="410"/>
      <c r="E722" s="410"/>
      <c r="F722" s="410"/>
      <c r="G722" s="780"/>
      <c r="H722" s="781"/>
      <c r="I722" s="410"/>
    </row>
    <row r="723" ht="18.0" customHeight="1">
      <c r="A723" s="410"/>
      <c r="B723" s="410"/>
      <c r="C723" s="410"/>
      <c r="D723" s="410"/>
      <c r="E723" s="410"/>
      <c r="F723" s="410"/>
      <c r="G723" s="780"/>
      <c r="H723" s="781"/>
      <c r="I723" s="410"/>
    </row>
    <row r="724" ht="18.0" customHeight="1">
      <c r="A724" s="410"/>
      <c r="B724" s="410"/>
      <c r="C724" s="410"/>
      <c r="D724" s="410"/>
      <c r="E724" s="410"/>
      <c r="F724" s="410"/>
      <c r="G724" s="780"/>
      <c r="H724" s="781"/>
      <c r="I724" s="410"/>
    </row>
    <row r="725" ht="18.0" customHeight="1">
      <c r="A725" s="410"/>
      <c r="B725" s="410"/>
      <c r="C725" s="410"/>
      <c r="D725" s="410"/>
      <c r="E725" s="410"/>
      <c r="F725" s="410"/>
      <c r="G725" s="780"/>
      <c r="H725" s="781"/>
      <c r="I725" s="410"/>
    </row>
    <row r="726" ht="18.0" customHeight="1">
      <c r="A726" s="410"/>
      <c r="B726" s="410"/>
      <c r="C726" s="410"/>
      <c r="D726" s="410"/>
      <c r="E726" s="410"/>
      <c r="F726" s="410"/>
      <c r="G726" s="780"/>
      <c r="H726" s="781"/>
      <c r="I726" s="410"/>
    </row>
    <row r="727" ht="18.0" customHeight="1">
      <c r="A727" s="410"/>
      <c r="B727" s="410"/>
      <c r="C727" s="410"/>
      <c r="D727" s="410"/>
      <c r="E727" s="410"/>
      <c r="F727" s="410"/>
      <c r="G727" s="780"/>
      <c r="H727" s="781"/>
      <c r="I727" s="410"/>
    </row>
    <row r="728" ht="18.0" customHeight="1">
      <c r="A728" s="410"/>
      <c r="B728" s="410"/>
      <c r="C728" s="410"/>
      <c r="D728" s="410"/>
      <c r="E728" s="410"/>
      <c r="F728" s="410"/>
      <c r="G728" s="780"/>
      <c r="H728" s="781"/>
      <c r="I728" s="410"/>
    </row>
    <row r="729" ht="18.0" customHeight="1">
      <c r="A729" s="410"/>
      <c r="B729" s="410"/>
      <c r="C729" s="410"/>
      <c r="D729" s="410"/>
      <c r="E729" s="410"/>
      <c r="F729" s="410"/>
      <c r="G729" s="780"/>
      <c r="H729" s="781"/>
      <c r="I729" s="410"/>
    </row>
    <row r="730" ht="18.0" customHeight="1">
      <c r="A730" s="410"/>
      <c r="B730" s="410"/>
      <c r="C730" s="410"/>
      <c r="D730" s="410"/>
      <c r="E730" s="410"/>
      <c r="F730" s="410"/>
      <c r="G730" s="780"/>
      <c r="H730" s="781"/>
      <c r="I730" s="410"/>
    </row>
    <row r="731" ht="18.0" customHeight="1">
      <c r="A731" s="410"/>
      <c r="B731" s="410"/>
      <c r="C731" s="410"/>
      <c r="D731" s="410"/>
      <c r="E731" s="410"/>
      <c r="F731" s="410"/>
      <c r="G731" s="780"/>
      <c r="H731" s="781"/>
      <c r="I731" s="410"/>
    </row>
    <row r="732" ht="18.0" customHeight="1">
      <c r="A732" s="410"/>
      <c r="B732" s="410"/>
      <c r="C732" s="410"/>
      <c r="D732" s="410"/>
      <c r="E732" s="410"/>
      <c r="F732" s="410"/>
      <c r="G732" s="780"/>
      <c r="H732" s="781"/>
      <c r="I732" s="410"/>
    </row>
    <row r="733" ht="18.0" customHeight="1">
      <c r="A733" s="410"/>
      <c r="B733" s="410"/>
      <c r="C733" s="410"/>
      <c r="D733" s="410"/>
      <c r="E733" s="410"/>
      <c r="F733" s="410"/>
      <c r="G733" s="780"/>
      <c r="H733" s="781"/>
      <c r="I733" s="410"/>
    </row>
    <row r="734" ht="18.0" customHeight="1">
      <c r="A734" s="410"/>
      <c r="B734" s="410"/>
      <c r="C734" s="410"/>
      <c r="D734" s="410"/>
      <c r="E734" s="410"/>
      <c r="F734" s="410"/>
      <c r="G734" s="780"/>
      <c r="H734" s="781"/>
      <c r="I734" s="410"/>
    </row>
    <row r="735" ht="18.0" customHeight="1">
      <c r="A735" s="410"/>
      <c r="B735" s="410"/>
      <c r="C735" s="410"/>
      <c r="D735" s="410"/>
      <c r="E735" s="410"/>
      <c r="F735" s="410"/>
      <c r="G735" s="780"/>
      <c r="H735" s="781"/>
      <c r="I735" s="410"/>
    </row>
    <row r="736" ht="18.0" customHeight="1">
      <c r="A736" s="410"/>
      <c r="B736" s="410"/>
      <c r="C736" s="410"/>
      <c r="D736" s="410"/>
      <c r="E736" s="410"/>
      <c r="F736" s="410"/>
      <c r="G736" s="780"/>
      <c r="H736" s="781"/>
      <c r="I736" s="410"/>
    </row>
    <row r="737" ht="18.0" customHeight="1">
      <c r="A737" s="410"/>
      <c r="B737" s="410"/>
      <c r="C737" s="410"/>
      <c r="D737" s="410"/>
      <c r="E737" s="410"/>
      <c r="F737" s="410"/>
      <c r="G737" s="780"/>
      <c r="H737" s="781"/>
      <c r="I737" s="410"/>
    </row>
    <row r="738" ht="18.0" customHeight="1">
      <c r="A738" s="410"/>
      <c r="B738" s="410"/>
      <c r="C738" s="410"/>
      <c r="D738" s="410"/>
      <c r="E738" s="410"/>
      <c r="F738" s="410"/>
      <c r="G738" s="780"/>
      <c r="H738" s="781"/>
      <c r="I738" s="410"/>
    </row>
    <row r="739" ht="18.0" customHeight="1">
      <c r="A739" s="410"/>
      <c r="B739" s="410"/>
      <c r="C739" s="410"/>
      <c r="D739" s="410"/>
      <c r="E739" s="410"/>
      <c r="F739" s="410"/>
      <c r="G739" s="780"/>
      <c r="H739" s="781"/>
      <c r="I739" s="410"/>
    </row>
    <row r="740" ht="18.0" customHeight="1">
      <c r="A740" s="410"/>
      <c r="B740" s="410"/>
      <c r="C740" s="410"/>
      <c r="D740" s="410"/>
      <c r="E740" s="410"/>
      <c r="F740" s="410"/>
      <c r="G740" s="780"/>
      <c r="H740" s="781"/>
      <c r="I740" s="410"/>
    </row>
    <row r="741" ht="18.0" customHeight="1">
      <c r="A741" s="410"/>
      <c r="B741" s="410"/>
      <c r="C741" s="410"/>
      <c r="D741" s="410"/>
      <c r="E741" s="410"/>
      <c r="F741" s="410"/>
      <c r="G741" s="780"/>
      <c r="H741" s="781"/>
      <c r="I741" s="410"/>
    </row>
    <row r="742" ht="18.0" customHeight="1">
      <c r="A742" s="410"/>
      <c r="B742" s="410"/>
      <c r="C742" s="410"/>
      <c r="D742" s="410"/>
      <c r="E742" s="410"/>
      <c r="F742" s="410"/>
      <c r="G742" s="780"/>
      <c r="H742" s="781"/>
      <c r="I742" s="410"/>
    </row>
    <row r="743" ht="18.0" customHeight="1">
      <c r="A743" s="410"/>
      <c r="B743" s="410"/>
      <c r="C743" s="410"/>
      <c r="D743" s="410"/>
      <c r="E743" s="410"/>
      <c r="F743" s="410"/>
      <c r="G743" s="780"/>
      <c r="H743" s="781"/>
      <c r="I743" s="410"/>
    </row>
    <row r="744" ht="18.0" customHeight="1">
      <c r="A744" s="410"/>
      <c r="B744" s="410"/>
      <c r="C744" s="410"/>
      <c r="D744" s="410"/>
      <c r="E744" s="410"/>
      <c r="F744" s="410"/>
      <c r="G744" s="780"/>
      <c r="H744" s="781"/>
      <c r="I744" s="410"/>
    </row>
    <row r="745" ht="18.0" customHeight="1">
      <c r="A745" s="410"/>
      <c r="B745" s="410"/>
      <c r="C745" s="410"/>
      <c r="D745" s="410"/>
      <c r="E745" s="410"/>
      <c r="F745" s="410"/>
      <c r="G745" s="780"/>
      <c r="H745" s="781"/>
      <c r="I745" s="410"/>
    </row>
    <row r="746" ht="18.0" customHeight="1">
      <c r="A746" s="410"/>
      <c r="B746" s="410"/>
      <c r="C746" s="410"/>
      <c r="D746" s="410"/>
      <c r="E746" s="410"/>
      <c r="F746" s="410"/>
      <c r="G746" s="780"/>
      <c r="H746" s="781"/>
      <c r="I746" s="410"/>
    </row>
    <row r="747" ht="18.0" customHeight="1">
      <c r="A747" s="410"/>
      <c r="B747" s="410"/>
      <c r="C747" s="410"/>
      <c r="D747" s="410"/>
      <c r="E747" s="410"/>
      <c r="F747" s="410"/>
      <c r="G747" s="780"/>
      <c r="H747" s="781"/>
      <c r="I747" s="410"/>
    </row>
    <row r="748" ht="18.0" customHeight="1">
      <c r="A748" s="410"/>
      <c r="B748" s="410"/>
      <c r="C748" s="410"/>
      <c r="D748" s="410"/>
      <c r="E748" s="410"/>
      <c r="F748" s="410"/>
      <c r="G748" s="780"/>
      <c r="H748" s="781"/>
      <c r="I748" s="410"/>
    </row>
    <row r="749" ht="18.0" customHeight="1">
      <c r="A749" s="410"/>
      <c r="B749" s="410"/>
      <c r="C749" s="410"/>
      <c r="D749" s="410"/>
      <c r="E749" s="410"/>
      <c r="F749" s="410"/>
      <c r="G749" s="780"/>
      <c r="H749" s="781"/>
      <c r="I749" s="410"/>
    </row>
    <row r="750" ht="18.0" customHeight="1">
      <c r="A750" s="410"/>
      <c r="B750" s="410"/>
      <c r="C750" s="410"/>
      <c r="D750" s="410"/>
      <c r="E750" s="410"/>
      <c r="F750" s="410"/>
      <c r="G750" s="780"/>
      <c r="H750" s="781"/>
      <c r="I750" s="410"/>
    </row>
    <row r="751" ht="18.0" customHeight="1">
      <c r="A751" s="410"/>
      <c r="B751" s="410"/>
      <c r="C751" s="410"/>
      <c r="D751" s="410"/>
      <c r="E751" s="410"/>
      <c r="F751" s="410"/>
      <c r="G751" s="780"/>
      <c r="H751" s="781"/>
      <c r="I751" s="410"/>
    </row>
    <row r="752" ht="18.0" customHeight="1">
      <c r="A752" s="410"/>
      <c r="B752" s="410"/>
      <c r="C752" s="410"/>
      <c r="D752" s="410"/>
      <c r="E752" s="410"/>
      <c r="F752" s="410"/>
      <c r="G752" s="780"/>
      <c r="H752" s="781"/>
      <c r="I752" s="410"/>
    </row>
    <row r="753" ht="18.0" customHeight="1">
      <c r="A753" s="410"/>
      <c r="B753" s="410"/>
      <c r="C753" s="410"/>
      <c r="D753" s="410"/>
      <c r="E753" s="410"/>
      <c r="F753" s="410"/>
      <c r="G753" s="780"/>
      <c r="H753" s="781"/>
      <c r="I753" s="410"/>
    </row>
    <row r="754" ht="18.0" customHeight="1">
      <c r="A754" s="410"/>
      <c r="B754" s="410"/>
      <c r="C754" s="410"/>
      <c r="D754" s="410"/>
      <c r="E754" s="410"/>
      <c r="F754" s="410"/>
      <c r="G754" s="780"/>
      <c r="H754" s="781"/>
      <c r="I754" s="410"/>
    </row>
    <row r="755" ht="18.0" customHeight="1">
      <c r="A755" s="410"/>
      <c r="B755" s="410"/>
      <c r="C755" s="410"/>
      <c r="D755" s="410"/>
      <c r="E755" s="410"/>
      <c r="F755" s="410"/>
      <c r="G755" s="780"/>
      <c r="H755" s="781"/>
      <c r="I755" s="410"/>
    </row>
    <row r="756" ht="18.0" customHeight="1">
      <c r="A756" s="410"/>
      <c r="B756" s="410"/>
      <c r="C756" s="410"/>
      <c r="D756" s="410"/>
      <c r="E756" s="410"/>
      <c r="F756" s="410"/>
      <c r="G756" s="780"/>
      <c r="H756" s="781"/>
      <c r="I756" s="410"/>
    </row>
    <row r="757" ht="18.0" customHeight="1">
      <c r="A757" s="410"/>
      <c r="B757" s="410"/>
      <c r="C757" s="410"/>
      <c r="D757" s="410"/>
      <c r="E757" s="410"/>
      <c r="F757" s="410"/>
      <c r="G757" s="780"/>
      <c r="H757" s="781"/>
      <c r="I757" s="410"/>
    </row>
    <row r="758" ht="18.0" customHeight="1">
      <c r="A758" s="410"/>
      <c r="B758" s="410"/>
      <c r="C758" s="410"/>
      <c r="D758" s="410"/>
      <c r="E758" s="410"/>
      <c r="F758" s="410"/>
      <c r="G758" s="780"/>
      <c r="H758" s="781"/>
      <c r="I758" s="410"/>
    </row>
    <row r="759" ht="18.0" customHeight="1">
      <c r="A759" s="410"/>
      <c r="B759" s="410"/>
      <c r="C759" s="410"/>
      <c r="D759" s="410"/>
      <c r="E759" s="410"/>
      <c r="F759" s="410"/>
      <c r="G759" s="780"/>
      <c r="H759" s="781"/>
      <c r="I759" s="410"/>
    </row>
    <row r="760" ht="18.0" customHeight="1">
      <c r="A760" s="410"/>
      <c r="B760" s="410"/>
      <c r="C760" s="410"/>
      <c r="D760" s="410"/>
      <c r="E760" s="410"/>
      <c r="F760" s="410"/>
      <c r="G760" s="780"/>
      <c r="H760" s="781"/>
      <c r="I760" s="410"/>
    </row>
    <row r="761" ht="18.0" customHeight="1">
      <c r="A761" s="410"/>
      <c r="B761" s="410"/>
      <c r="C761" s="410"/>
      <c r="D761" s="410"/>
      <c r="E761" s="410"/>
      <c r="F761" s="410"/>
      <c r="G761" s="780"/>
      <c r="H761" s="781"/>
      <c r="I761" s="410"/>
    </row>
    <row r="762" ht="18.0" customHeight="1">
      <c r="A762" s="410"/>
      <c r="B762" s="410"/>
      <c r="C762" s="410"/>
      <c r="D762" s="410"/>
      <c r="E762" s="410"/>
      <c r="F762" s="410"/>
      <c r="G762" s="780"/>
      <c r="H762" s="781"/>
      <c r="I762" s="410"/>
    </row>
    <row r="763" ht="18.0" customHeight="1">
      <c r="A763" s="410"/>
      <c r="B763" s="410"/>
      <c r="C763" s="410"/>
      <c r="D763" s="410"/>
      <c r="E763" s="410"/>
      <c r="F763" s="410"/>
      <c r="G763" s="780"/>
      <c r="H763" s="781"/>
      <c r="I763" s="410"/>
    </row>
    <row r="764" ht="18.0" customHeight="1">
      <c r="A764" s="410"/>
      <c r="B764" s="410"/>
      <c r="C764" s="410"/>
      <c r="D764" s="410"/>
      <c r="E764" s="410"/>
      <c r="F764" s="410"/>
      <c r="G764" s="780"/>
      <c r="H764" s="781"/>
      <c r="I764" s="410"/>
    </row>
    <row r="765" ht="18.0" customHeight="1">
      <c r="A765" s="410"/>
      <c r="B765" s="410"/>
      <c r="C765" s="410"/>
      <c r="D765" s="410"/>
      <c r="E765" s="410"/>
      <c r="F765" s="410"/>
      <c r="G765" s="780"/>
      <c r="H765" s="781"/>
      <c r="I765" s="410"/>
    </row>
    <row r="766" ht="18.0" customHeight="1">
      <c r="A766" s="410"/>
      <c r="B766" s="410"/>
      <c r="C766" s="410"/>
      <c r="D766" s="410"/>
      <c r="E766" s="410"/>
      <c r="F766" s="410"/>
      <c r="G766" s="780"/>
      <c r="H766" s="781"/>
      <c r="I766" s="410"/>
    </row>
    <row r="767" ht="18.0" customHeight="1">
      <c r="A767" s="410"/>
      <c r="B767" s="410"/>
      <c r="C767" s="410"/>
      <c r="D767" s="410"/>
      <c r="E767" s="410"/>
      <c r="F767" s="410"/>
      <c r="G767" s="780"/>
      <c r="H767" s="781"/>
      <c r="I767" s="410"/>
    </row>
    <row r="768" ht="18.0" customHeight="1">
      <c r="A768" s="410"/>
      <c r="B768" s="410"/>
      <c r="C768" s="410"/>
      <c r="D768" s="410"/>
      <c r="E768" s="410"/>
      <c r="F768" s="410"/>
      <c r="G768" s="780"/>
      <c r="H768" s="781"/>
      <c r="I768" s="410"/>
    </row>
    <row r="769" ht="18.0" customHeight="1">
      <c r="A769" s="410"/>
      <c r="B769" s="410"/>
      <c r="C769" s="410"/>
      <c r="D769" s="410"/>
      <c r="E769" s="410"/>
      <c r="F769" s="410"/>
      <c r="G769" s="780"/>
      <c r="H769" s="781"/>
      <c r="I769" s="410"/>
    </row>
    <row r="770" ht="18.0" customHeight="1">
      <c r="A770" s="410"/>
      <c r="B770" s="410"/>
      <c r="C770" s="410"/>
      <c r="D770" s="410"/>
      <c r="E770" s="410"/>
      <c r="F770" s="410"/>
      <c r="G770" s="780"/>
      <c r="H770" s="781"/>
      <c r="I770" s="410"/>
    </row>
    <row r="771" ht="18.0" customHeight="1">
      <c r="A771" s="410"/>
      <c r="B771" s="410"/>
      <c r="C771" s="410"/>
      <c r="D771" s="410"/>
      <c r="E771" s="410"/>
      <c r="F771" s="410"/>
      <c r="G771" s="780"/>
      <c r="H771" s="781"/>
      <c r="I771" s="410"/>
    </row>
    <row r="772" ht="18.0" customHeight="1">
      <c r="A772" s="410"/>
      <c r="B772" s="410"/>
      <c r="C772" s="410"/>
      <c r="D772" s="410"/>
      <c r="E772" s="410"/>
      <c r="F772" s="410"/>
      <c r="G772" s="780"/>
      <c r="H772" s="781"/>
      <c r="I772" s="410"/>
    </row>
    <row r="773" ht="18.0" customHeight="1">
      <c r="A773" s="410"/>
      <c r="B773" s="410"/>
      <c r="C773" s="410"/>
      <c r="D773" s="410"/>
      <c r="E773" s="410"/>
      <c r="F773" s="410"/>
      <c r="G773" s="780"/>
      <c r="H773" s="781"/>
      <c r="I773" s="410"/>
    </row>
    <row r="774" ht="18.0" customHeight="1">
      <c r="A774" s="410"/>
      <c r="B774" s="410"/>
      <c r="C774" s="410"/>
      <c r="D774" s="410"/>
      <c r="E774" s="410"/>
      <c r="F774" s="410"/>
      <c r="G774" s="780"/>
      <c r="H774" s="781"/>
      <c r="I774" s="410"/>
    </row>
    <row r="775" ht="18.0" customHeight="1">
      <c r="A775" s="410"/>
      <c r="B775" s="410"/>
      <c r="C775" s="410"/>
      <c r="D775" s="410"/>
      <c r="E775" s="410"/>
      <c r="F775" s="410"/>
      <c r="G775" s="780"/>
      <c r="H775" s="781"/>
      <c r="I775" s="410"/>
    </row>
    <row r="776" ht="18.0" customHeight="1">
      <c r="A776" s="410"/>
      <c r="B776" s="410"/>
      <c r="C776" s="410"/>
      <c r="D776" s="410"/>
      <c r="E776" s="410"/>
      <c r="F776" s="410"/>
      <c r="G776" s="780"/>
      <c r="H776" s="781"/>
      <c r="I776" s="410"/>
    </row>
    <row r="777" ht="18.0" customHeight="1">
      <c r="A777" s="410"/>
      <c r="B777" s="410"/>
      <c r="C777" s="410"/>
      <c r="D777" s="410"/>
      <c r="E777" s="410"/>
      <c r="F777" s="410"/>
      <c r="G777" s="780"/>
      <c r="H777" s="781"/>
      <c r="I777" s="410"/>
    </row>
    <row r="778" ht="18.0" customHeight="1">
      <c r="A778" s="410"/>
      <c r="B778" s="410"/>
      <c r="C778" s="410"/>
      <c r="D778" s="410"/>
      <c r="E778" s="410"/>
      <c r="F778" s="410"/>
      <c r="G778" s="780"/>
      <c r="H778" s="781"/>
      <c r="I778" s="410"/>
    </row>
    <row r="779" ht="18.0" customHeight="1">
      <c r="A779" s="410"/>
      <c r="B779" s="410"/>
      <c r="C779" s="410"/>
      <c r="D779" s="410"/>
      <c r="E779" s="410"/>
      <c r="F779" s="410"/>
      <c r="G779" s="780"/>
      <c r="H779" s="781"/>
      <c r="I779" s="410"/>
    </row>
    <row r="780" ht="18.0" customHeight="1">
      <c r="A780" s="410"/>
      <c r="B780" s="410"/>
      <c r="C780" s="410"/>
      <c r="D780" s="410"/>
      <c r="E780" s="410"/>
      <c r="F780" s="410"/>
      <c r="G780" s="780"/>
      <c r="H780" s="781"/>
      <c r="I780" s="410"/>
    </row>
    <row r="781" ht="18.0" customHeight="1">
      <c r="A781" s="410"/>
      <c r="B781" s="410"/>
      <c r="C781" s="410"/>
      <c r="D781" s="410"/>
      <c r="E781" s="410"/>
      <c r="F781" s="410"/>
      <c r="G781" s="780"/>
      <c r="H781" s="781"/>
      <c r="I781" s="410"/>
    </row>
    <row r="782" ht="18.0" customHeight="1">
      <c r="A782" s="410"/>
      <c r="B782" s="410"/>
      <c r="C782" s="410"/>
      <c r="D782" s="410"/>
      <c r="E782" s="410"/>
      <c r="F782" s="410"/>
      <c r="G782" s="780"/>
      <c r="H782" s="781"/>
      <c r="I782" s="410"/>
    </row>
    <row r="783" ht="18.0" customHeight="1">
      <c r="A783" s="410"/>
      <c r="B783" s="410"/>
      <c r="C783" s="410"/>
      <c r="D783" s="410"/>
      <c r="E783" s="410"/>
      <c r="F783" s="410"/>
      <c r="G783" s="780"/>
      <c r="H783" s="781"/>
      <c r="I783" s="410"/>
    </row>
    <row r="784" ht="18.0" customHeight="1">
      <c r="A784" s="410"/>
      <c r="B784" s="410"/>
      <c r="C784" s="410"/>
      <c r="D784" s="410"/>
      <c r="E784" s="410"/>
      <c r="F784" s="410"/>
      <c r="G784" s="780"/>
      <c r="H784" s="781"/>
      <c r="I784" s="410"/>
    </row>
    <row r="785" ht="18.0" customHeight="1">
      <c r="A785" s="410"/>
      <c r="B785" s="410"/>
      <c r="C785" s="410"/>
      <c r="D785" s="410"/>
      <c r="E785" s="410"/>
      <c r="F785" s="410"/>
      <c r="G785" s="780"/>
      <c r="H785" s="781"/>
      <c r="I785" s="410"/>
    </row>
    <row r="786" ht="18.0" customHeight="1">
      <c r="A786" s="410"/>
      <c r="B786" s="410"/>
      <c r="C786" s="410"/>
      <c r="D786" s="410"/>
      <c r="E786" s="410"/>
      <c r="F786" s="410"/>
      <c r="G786" s="780"/>
      <c r="H786" s="781"/>
      <c r="I786" s="410"/>
    </row>
    <row r="787" ht="18.0" customHeight="1">
      <c r="A787" s="410"/>
      <c r="B787" s="410"/>
      <c r="C787" s="410"/>
      <c r="D787" s="410"/>
      <c r="E787" s="410"/>
      <c r="F787" s="410"/>
      <c r="G787" s="780"/>
      <c r="H787" s="781"/>
      <c r="I787" s="410"/>
    </row>
    <row r="788" ht="18.0" customHeight="1">
      <c r="A788" s="410"/>
      <c r="B788" s="410"/>
      <c r="C788" s="410"/>
      <c r="D788" s="410"/>
      <c r="E788" s="410"/>
      <c r="F788" s="410"/>
      <c r="G788" s="780"/>
      <c r="H788" s="781"/>
      <c r="I788" s="410"/>
    </row>
    <row r="789" ht="18.0" customHeight="1">
      <c r="A789" s="410"/>
      <c r="B789" s="410"/>
      <c r="C789" s="410"/>
      <c r="D789" s="410"/>
      <c r="E789" s="410"/>
      <c r="F789" s="410"/>
      <c r="G789" s="780"/>
      <c r="H789" s="781"/>
      <c r="I789" s="410"/>
    </row>
    <row r="790" ht="18.0" customHeight="1">
      <c r="A790" s="410"/>
      <c r="B790" s="410"/>
      <c r="C790" s="410"/>
      <c r="D790" s="410"/>
      <c r="E790" s="410"/>
      <c r="F790" s="410"/>
      <c r="G790" s="780"/>
      <c r="H790" s="781"/>
      <c r="I790" s="410"/>
    </row>
    <row r="791" ht="18.0" customHeight="1">
      <c r="A791" s="410"/>
      <c r="B791" s="410"/>
      <c r="C791" s="410"/>
      <c r="D791" s="410"/>
      <c r="E791" s="410"/>
      <c r="F791" s="410"/>
      <c r="G791" s="780"/>
      <c r="H791" s="781"/>
      <c r="I791" s="410"/>
    </row>
    <row r="792" ht="18.0" customHeight="1">
      <c r="A792" s="410"/>
      <c r="B792" s="410"/>
      <c r="C792" s="410"/>
      <c r="D792" s="410"/>
      <c r="E792" s="410"/>
      <c r="F792" s="410"/>
      <c r="G792" s="780"/>
      <c r="H792" s="781"/>
      <c r="I792" s="410"/>
    </row>
    <row r="793" ht="18.0" customHeight="1">
      <c r="A793" s="410"/>
      <c r="B793" s="410"/>
      <c r="C793" s="410"/>
      <c r="D793" s="410"/>
      <c r="E793" s="410"/>
      <c r="F793" s="410"/>
      <c r="G793" s="780"/>
      <c r="H793" s="781"/>
      <c r="I793" s="410"/>
    </row>
    <row r="794" ht="18.0" customHeight="1">
      <c r="A794" s="410"/>
      <c r="B794" s="410"/>
      <c r="C794" s="410"/>
      <c r="D794" s="410"/>
      <c r="E794" s="410"/>
      <c r="F794" s="410"/>
      <c r="G794" s="780"/>
      <c r="H794" s="781"/>
      <c r="I794" s="410"/>
    </row>
    <row r="795" ht="18.0" customHeight="1">
      <c r="A795" s="410"/>
      <c r="B795" s="410"/>
      <c r="C795" s="410"/>
      <c r="D795" s="410"/>
      <c r="E795" s="410"/>
      <c r="F795" s="410"/>
      <c r="G795" s="780"/>
      <c r="H795" s="781"/>
      <c r="I795" s="410"/>
    </row>
    <row r="796" ht="18.0" customHeight="1">
      <c r="A796" s="410"/>
      <c r="B796" s="410"/>
      <c r="C796" s="410"/>
      <c r="D796" s="410"/>
      <c r="E796" s="410"/>
      <c r="F796" s="410"/>
      <c r="G796" s="780"/>
      <c r="H796" s="781"/>
      <c r="I796" s="410"/>
    </row>
    <row r="797" ht="18.0" customHeight="1">
      <c r="A797" s="410"/>
      <c r="B797" s="410"/>
      <c r="C797" s="410"/>
      <c r="D797" s="410"/>
      <c r="E797" s="410"/>
      <c r="F797" s="410"/>
      <c r="G797" s="780"/>
      <c r="H797" s="781"/>
      <c r="I797" s="410"/>
    </row>
    <row r="798" ht="18.0" customHeight="1">
      <c r="A798" s="410"/>
      <c r="B798" s="410"/>
      <c r="C798" s="410"/>
      <c r="D798" s="410"/>
      <c r="E798" s="410"/>
      <c r="F798" s="410"/>
      <c r="G798" s="780"/>
      <c r="H798" s="781"/>
      <c r="I798" s="410"/>
    </row>
    <row r="799" ht="18.0" customHeight="1">
      <c r="A799" s="410"/>
      <c r="B799" s="410"/>
      <c r="C799" s="410"/>
      <c r="D799" s="410"/>
      <c r="E799" s="410"/>
      <c r="F799" s="410"/>
      <c r="G799" s="780"/>
      <c r="H799" s="781"/>
      <c r="I799" s="410"/>
    </row>
    <row r="800" ht="18.0" customHeight="1">
      <c r="A800" s="410"/>
      <c r="B800" s="410"/>
      <c r="C800" s="410"/>
      <c r="D800" s="410"/>
      <c r="E800" s="410"/>
      <c r="F800" s="410"/>
      <c r="G800" s="780"/>
      <c r="H800" s="781"/>
      <c r="I800" s="410"/>
    </row>
    <row r="801" ht="18.0" customHeight="1">
      <c r="A801" s="410"/>
      <c r="B801" s="410"/>
      <c r="C801" s="410"/>
      <c r="D801" s="410"/>
      <c r="E801" s="410"/>
      <c r="F801" s="410"/>
      <c r="G801" s="780"/>
      <c r="H801" s="781"/>
      <c r="I801" s="410"/>
    </row>
    <row r="802" ht="18.0" customHeight="1">
      <c r="A802" s="410"/>
      <c r="B802" s="410"/>
      <c r="C802" s="410"/>
      <c r="D802" s="410"/>
      <c r="E802" s="410"/>
      <c r="F802" s="410"/>
      <c r="G802" s="780"/>
      <c r="H802" s="781"/>
      <c r="I802" s="410"/>
    </row>
    <row r="803" ht="18.0" customHeight="1">
      <c r="A803" s="410"/>
      <c r="B803" s="410"/>
      <c r="C803" s="410"/>
      <c r="D803" s="410"/>
      <c r="E803" s="410"/>
      <c r="F803" s="410"/>
      <c r="G803" s="780"/>
      <c r="H803" s="781"/>
      <c r="I803" s="410"/>
    </row>
    <row r="804" ht="18.0" customHeight="1">
      <c r="A804" s="410"/>
      <c r="B804" s="410"/>
      <c r="C804" s="410"/>
      <c r="D804" s="410"/>
      <c r="E804" s="410"/>
      <c r="F804" s="410"/>
      <c r="G804" s="780"/>
      <c r="H804" s="781"/>
      <c r="I804" s="410"/>
    </row>
    <row r="805" ht="18.0" customHeight="1">
      <c r="A805" s="410"/>
      <c r="B805" s="410"/>
      <c r="C805" s="410"/>
      <c r="D805" s="410"/>
      <c r="E805" s="410"/>
      <c r="F805" s="410"/>
      <c r="G805" s="780"/>
      <c r="H805" s="781"/>
      <c r="I805" s="410"/>
    </row>
    <row r="806" ht="18.0" customHeight="1">
      <c r="A806" s="410"/>
      <c r="B806" s="410"/>
      <c r="C806" s="410"/>
      <c r="D806" s="410"/>
      <c r="E806" s="410"/>
      <c r="F806" s="410"/>
      <c r="G806" s="780"/>
      <c r="H806" s="781"/>
      <c r="I806" s="410"/>
    </row>
    <row r="807" ht="18.0" customHeight="1">
      <c r="A807" s="410"/>
      <c r="B807" s="410"/>
      <c r="C807" s="410"/>
      <c r="D807" s="410"/>
      <c r="E807" s="410"/>
      <c r="F807" s="410"/>
      <c r="G807" s="780"/>
      <c r="H807" s="781"/>
      <c r="I807" s="410"/>
    </row>
    <row r="808" ht="18.0" customHeight="1">
      <c r="A808" s="410"/>
      <c r="B808" s="410"/>
      <c r="C808" s="410"/>
      <c r="D808" s="410"/>
      <c r="E808" s="410"/>
      <c r="F808" s="410"/>
      <c r="G808" s="780"/>
      <c r="H808" s="781"/>
      <c r="I808" s="410"/>
    </row>
    <row r="809" ht="18.0" customHeight="1">
      <c r="A809" s="410"/>
      <c r="B809" s="410"/>
      <c r="C809" s="410"/>
      <c r="D809" s="410"/>
      <c r="E809" s="410"/>
      <c r="F809" s="410"/>
      <c r="G809" s="780"/>
      <c r="H809" s="781"/>
      <c r="I809" s="410"/>
    </row>
    <row r="810" ht="18.0" customHeight="1">
      <c r="A810" s="410"/>
      <c r="B810" s="410"/>
      <c r="C810" s="410"/>
      <c r="D810" s="410"/>
      <c r="E810" s="410"/>
      <c r="F810" s="410"/>
      <c r="G810" s="780"/>
      <c r="H810" s="781"/>
      <c r="I810" s="410"/>
    </row>
    <row r="811" ht="18.0" customHeight="1">
      <c r="A811" s="410"/>
      <c r="B811" s="410"/>
      <c r="C811" s="410"/>
      <c r="D811" s="410"/>
      <c r="E811" s="410"/>
      <c r="F811" s="410"/>
      <c r="G811" s="780"/>
      <c r="H811" s="781"/>
      <c r="I811" s="410"/>
    </row>
    <row r="812" ht="18.0" customHeight="1">
      <c r="A812" s="410"/>
      <c r="B812" s="410"/>
      <c r="C812" s="410"/>
      <c r="D812" s="410"/>
      <c r="E812" s="410"/>
      <c r="F812" s="410"/>
      <c r="G812" s="780"/>
      <c r="H812" s="781"/>
      <c r="I812" s="410"/>
    </row>
    <row r="813" ht="18.0" customHeight="1">
      <c r="A813" s="410"/>
      <c r="B813" s="410"/>
      <c r="C813" s="410"/>
      <c r="D813" s="410"/>
      <c r="E813" s="410"/>
      <c r="F813" s="410"/>
      <c r="G813" s="780"/>
      <c r="H813" s="781"/>
      <c r="I813" s="410"/>
    </row>
    <row r="814" ht="18.0" customHeight="1">
      <c r="A814" s="410"/>
      <c r="B814" s="410"/>
      <c r="C814" s="410"/>
      <c r="D814" s="410"/>
      <c r="E814" s="410"/>
      <c r="F814" s="410"/>
      <c r="G814" s="780"/>
      <c r="H814" s="781"/>
      <c r="I814" s="410"/>
    </row>
    <row r="815" ht="18.0" customHeight="1">
      <c r="A815" s="410"/>
      <c r="B815" s="410"/>
      <c r="C815" s="410"/>
      <c r="D815" s="410"/>
      <c r="E815" s="410"/>
      <c r="F815" s="410"/>
      <c r="G815" s="780"/>
      <c r="H815" s="781"/>
      <c r="I815" s="410"/>
    </row>
    <row r="816" ht="18.0" customHeight="1">
      <c r="A816" s="410"/>
      <c r="B816" s="410"/>
      <c r="C816" s="410"/>
      <c r="D816" s="410"/>
      <c r="E816" s="410"/>
      <c r="F816" s="410"/>
      <c r="G816" s="780"/>
      <c r="H816" s="781"/>
      <c r="I816" s="410"/>
    </row>
    <row r="817" ht="18.0" customHeight="1">
      <c r="A817" s="410"/>
      <c r="B817" s="410"/>
      <c r="C817" s="410"/>
      <c r="D817" s="410"/>
      <c r="E817" s="410"/>
      <c r="F817" s="410"/>
      <c r="G817" s="780"/>
      <c r="H817" s="781"/>
      <c r="I817" s="410"/>
    </row>
    <row r="818" ht="18.0" customHeight="1">
      <c r="A818" s="410"/>
      <c r="B818" s="410"/>
      <c r="C818" s="410"/>
      <c r="D818" s="410"/>
      <c r="E818" s="410"/>
      <c r="F818" s="410"/>
      <c r="G818" s="780"/>
      <c r="H818" s="781"/>
      <c r="I818" s="410"/>
    </row>
    <row r="819" ht="18.0" customHeight="1">
      <c r="A819" s="410"/>
      <c r="B819" s="410"/>
      <c r="C819" s="410"/>
      <c r="D819" s="410"/>
      <c r="E819" s="410"/>
      <c r="F819" s="410"/>
      <c r="G819" s="780"/>
      <c r="H819" s="781"/>
      <c r="I819" s="410"/>
    </row>
    <row r="820" ht="18.0" customHeight="1">
      <c r="A820" s="410"/>
      <c r="B820" s="410"/>
      <c r="C820" s="410"/>
      <c r="D820" s="410"/>
      <c r="E820" s="410"/>
      <c r="F820" s="410"/>
      <c r="G820" s="780"/>
      <c r="H820" s="781"/>
      <c r="I820" s="410"/>
    </row>
    <row r="821" ht="18.0" customHeight="1">
      <c r="A821" s="410"/>
      <c r="B821" s="410"/>
      <c r="C821" s="410"/>
      <c r="D821" s="410"/>
      <c r="E821" s="410"/>
      <c r="F821" s="410"/>
      <c r="G821" s="780"/>
      <c r="H821" s="781"/>
      <c r="I821" s="410"/>
    </row>
    <row r="822" ht="18.0" customHeight="1">
      <c r="A822" s="410"/>
      <c r="B822" s="410"/>
      <c r="C822" s="410"/>
      <c r="D822" s="410"/>
      <c r="E822" s="410"/>
      <c r="F822" s="410"/>
      <c r="G822" s="780"/>
      <c r="H822" s="781"/>
      <c r="I822" s="410"/>
    </row>
    <row r="823" ht="18.0" customHeight="1">
      <c r="A823" s="410"/>
      <c r="B823" s="410"/>
      <c r="C823" s="410"/>
      <c r="D823" s="410"/>
      <c r="E823" s="410"/>
      <c r="F823" s="410"/>
      <c r="G823" s="780"/>
      <c r="H823" s="781"/>
      <c r="I823" s="410"/>
    </row>
    <row r="824" ht="18.0" customHeight="1">
      <c r="A824" s="410"/>
      <c r="B824" s="410"/>
      <c r="C824" s="410"/>
      <c r="D824" s="410"/>
      <c r="E824" s="410"/>
      <c r="F824" s="410"/>
      <c r="G824" s="780"/>
      <c r="H824" s="781"/>
      <c r="I824" s="410"/>
    </row>
    <row r="825" ht="18.0" customHeight="1">
      <c r="A825" s="410"/>
      <c r="B825" s="410"/>
      <c r="C825" s="410"/>
      <c r="D825" s="410"/>
      <c r="E825" s="410"/>
      <c r="F825" s="410"/>
      <c r="G825" s="780"/>
      <c r="H825" s="781"/>
      <c r="I825" s="410"/>
    </row>
    <row r="826" ht="18.0" customHeight="1">
      <c r="A826" s="410"/>
      <c r="B826" s="410"/>
      <c r="C826" s="410"/>
      <c r="D826" s="410"/>
      <c r="E826" s="410"/>
      <c r="F826" s="410"/>
      <c r="G826" s="780"/>
      <c r="H826" s="781"/>
      <c r="I826" s="410"/>
    </row>
    <row r="827" ht="18.0" customHeight="1">
      <c r="A827" s="410"/>
      <c r="B827" s="410"/>
      <c r="C827" s="410"/>
      <c r="D827" s="410"/>
      <c r="E827" s="410"/>
      <c r="F827" s="410"/>
      <c r="G827" s="780"/>
      <c r="H827" s="781"/>
      <c r="I827" s="410"/>
    </row>
    <row r="828" ht="18.0" customHeight="1">
      <c r="A828" s="410"/>
      <c r="B828" s="410"/>
      <c r="C828" s="410"/>
      <c r="D828" s="410"/>
      <c r="E828" s="410"/>
      <c r="F828" s="410"/>
      <c r="G828" s="780"/>
      <c r="H828" s="781"/>
      <c r="I828" s="410"/>
    </row>
    <row r="829" ht="18.0" customHeight="1">
      <c r="A829" s="410"/>
      <c r="B829" s="410"/>
      <c r="C829" s="410"/>
      <c r="D829" s="410"/>
      <c r="E829" s="410"/>
      <c r="F829" s="410"/>
      <c r="G829" s="780"/>
      <c r="H829" s="781"/>
      <c r="I829" s="410"/>
    </row>
    <row r="830" ht="18.0" customHeight="1">
      <c r="A830" s="410"/>
      <c r="B830" s="410"/>
      <c r="C830" s="410"/>
      <c r="D830" s="410"/>
      <c r="E830" s="410"/>
      <c r="F830" s="410"/>
      <c r="G830" s="780"/>
      <c r="H830" s="781"/>
      <c r="I830" s="410"/>
    </row>
    <row r="831" ht="18.0" customHeight="1">
      <c r="A831" s="410"/>
      <c r="B831" s="410"/>
      <c r="C831" s="410"/>
      <c r="D831" s="410"/>
      <c r="E831" s="410"/>
      <c r="F831" s="410"/>
      <c r="G831" s="780"/>
      <c r="H831" s="781"/>
      <c r="I831" s="410"/>
    </row>
    <row r="832" ht="18.0" customHeight="1">
      <c r="A832" s="410"/>
      <c r="B832" s="410"/>
      <c r="C832" s="410"/>
      <c r="D832" s="410"/>
      <c r="E832" s="410"/>
      <c r="F832" s="410"/>
      <c r="G832" s="780"/>
      <c r="H832" s="781"/>
      <c r="I832" s="410"/>
    </row>
    <row r="833" ht="18.0" customHeight="1">
      <c r="A833" s="410"/>
      <c r="B833" s="410"/>
      <c r="C833" s="410"/>
      <c r="D833" s="410"/>
      <c r="E833" s="410"/>
      <c r="F833" s="410"/>
      <c r="G833" s="780"/>
      <c r="H833" s="781"/>
      <c r="I833" s="410"/>
    </row>
    <row r="834" ht="18.0" customHeight="1">
      <c r="A834" s="410"/>
      <c r="B834" s="410"/>
      <c r="C834" s="410"/>
      <c r="D834" s="410"/>
      <c r="E834" s="410"/>
      <c r="F834" s="410"/>
      <c r="G834" s="780"/>
      <c r="H834" s="781"/>
      <c r="I834" s="410"/>
    </row>
    <row r="835" ht="18.0" customHeight="1">
      <c r="A835" s="410"/>
      <c r="B835" s="410"/>
      <c r="C835" s="410"/>
      <c r="D835" s="410"/>
      <c r="E835" s="410"/>
      <c r="F835" s="410"/>
      <c r="G835" s="780"/>
      <c r="H835" s="781"/>
      <c r="I835" s="410"/>
    </row>
    <row r="836" ht="18.0" customHeight="1">
      <c r="A836" s="410"/>
      <c r="B836" s="410"/>
      <c r="C836" s="410"/>
      <c r="D836" s="410"/>
      <c r="E836" s="410"/>
      <c r="F836" s="410"/>
      <c r="G836" s="780"/>
      <c r="H836" s="781"/>
      <c r="I836" s="410"/>
    </row>
    <row r="837" ht="18.0" customHeight="1">
      <c r="A837" s="410"/>
      <c r="B837" s="410"/>
      <c r="C837" s="410"/>
      <c r="D837" s="410"/>
      <c r="E837" s="410"/>
      <c r="F837" s="410"/>
      <c r="G837" s="780"/>
      <c r="H837" s="781"/>
      <c r="I837" s="410"/>
    </row>
    <row r="838" ht="18.0" customHeight="1">
      <c r="A838" s="410"/>
      <c r="B838" s="410"/>
      <c r="C838" s="410"/>
      <c r="D838" s="410"/>
      <c r="E838" s="410"/>
      <c r="F838" s="410"/>
      <c r="G838" s="780"/>
      <c r="H838" s="781"/>
      <c r="I838" s="410"/>
    </row>
    <row r="839" ht="18.0" customHeight="1">
      <c r="A839" s="410"/>
      <c r="B839" s="410"/>
      <c r="C839" s="410"/>
      <c r="D839" s="410"/>
      <c r="E839" s="410"/>
      <c r="F839" s="410"/>
      <c r="G839" s="780"/>
      <c r="H839" s="781"/>
      <c r="I839" s="410"/>
    </row>
    <row r="840" ht="18.0" customHeight="1">
      <c r="A840" s="410"/>
      <c r="B840" s="410"/>
      <c r="C840" s="410"/>
      <c r="D840" s="410"/>
      <c r="E840" s="410"/>
      <c r="F840" s="410"/>
      <c r="G840" s="780"/>
      <c r="H840" s="781"/>
      <c r="I840" s="410"/>
    </row>
    <row r="841" ht="18.0" customHeight="1">
      <c r="A841" s="410"/>
      <c r="B841" s="410"/>
      <c r="C841" s="410"/>
      <c r="D841" s="410"/>
      <c r="E841" s="410"/>
      <c r="F841" s="410"/>
      <c r="G841" s="780"/>
      <c r="H841" s="781"/>
      <c r="I841" s="410"/>
    </row>
    <row r="842" ht="18.0" customHeight="1">
      <c r="A842" s="410"/>
      <c r="B842" s="410"/>
      <c r="C842" s="410"/>
      <c r="D842" s="410"/>
      <c r="E842" s="410"/>
      <c r="F842" s="410"/>
      <c r="G842" s="780"/>
      <c r="H842" s="781"/>
      <c r="I842" s="410"/>
    </row>
    <row r="843" ht="18.0" customHeight="1">
      <c r="A843" s="410"/>
      <c r="B843" s="410"/>
      <c r="C843" s="410"/>
      <c r="D843" s="410"/>
      <c r="E843" s="410"/>
      <c r="F843" s="410"/>
      <c r="G843" s="780"/>
      <c r="H843" s="781"/>
      <c r="I843" s="410"/>
    </row>
    <row r="844" ht="18.0" customHeight="1">
      <c r="A844" s="410"/>
      <c r="B844" s="410"/>
      <c r="C844" s="410"/>
      <c r="D844" s="410"/>
      <c r="E844" s="410"/>
      <c r="F844" s="410"/>
      <c r="G844" s="780"/>
      <c r="H844" s="781"/>
      <c r="I844" s="410"/>
    </row>
    <row r="845" ht="18.0" customHeight="1">
      <c r="A845" s="410"/>
      <c r="B845" s="410"/>
      <c r="C845" s="410"/>
      <c r="D845" s="410"/>
      <c r="E845" s="410"/>
      <c r="F845" s="410"/>
      <c r="G845" s="780"/>
      <c r="H845" s="781"/>
      <c r="I845" s="410"/>
    </row>
    <row r="846" ht="18.0" customHeight="1">
      <c r="A846" s="410"/>
      <c r="B846" s="410"/>
      <c r="C846" s="410"/>
      <c r="D846" s="410"/>
      <c r="E846" s="410"/>
      <c r="F846" s="410"/>
      <c r="G846" s="780"/>
      <c r="H846" s="781"/>
      <c r="I846" s="410"/>
    </row>
    <row r="847" ht="18.0" customHeight="1">
      <c r="A847" s="410"/>
      <c r="B847" s="410"/>
      <c r="C847" s="410"/>
      <c r="D847" s="410"/>
      <c r="E847" s="410"/>
      <c r="F847" s="410"/>
      <c r="G847" s="780"/>
      <c r="H847" s="781"/>
      <c r="I847" s="410"/>
    </row>
    <row r="848" ht="18.0" customHeight="1">
      <c r="A848" s="410"/>
      <c r="B848" s="410"/>
      <c r="C848" s="410"/>
      <c r="D848" s="410"/>
      <c r="E848" s="410"/>
      <c r="F848" s="410"/>
      <c r="G848" s="780"/>
      <c r="H848" s="781"/>
      <c r="I848" s="410"/>
    </row>
    <row r="849" ht="18.0" customHeight="1">
      <c r="A849" s="410"/>
      <c r="B849" s="410"/>
      <c r="C849" s="410"/>
      <c r="D849" s="410"/>
      <c r="E849" s="410"/>
      <c r="F849" s="410"/>
      <c r="G849" s="780"/>
      <c r="H849" s="781"/>
      <c r="I849" s="410"/>
    </row>
    <row r="850" ht="18.0" customHeight="1">
      <c r="A850" s="410"/>
      <c r="B850" s="410"/>
      <c r="C850" s="410"/>
      <c r="D850" s="410"/>
      <c r="E850" s="410"/>
      <c r="F850" s="410"/>
      <c r="G850" s="780"/>
      <c r="H850" s="781"/>
      <c r="I850" s="410"/>
    </row>
    <row r="851" ht="18.0" customHeight="1">
      <c r="A851" s="410"/>
      <c r="B851" s="410"/>
      <c r="C851" s="410"/>
      <c r="D851" s="410"/>
      <c r="E851" s="410"/>
      <c r="F851" s="410"/>
      <c r="G851" s="780"/>
      <c r="H851" s="781"/>
      <c r="I851" s="410"/>
    </row>
    <row r="852" ht="18.0" customHeight="1">
      <c r="A852" s="410"/>
      <c r="B852" s="410"/>
      <c r="C852" s="410"/>
      <c r="D852" s="410"/>
      <c r="E852" s="410"/>
      <c r="F852" s="410"/>
      <c r="G852" s="780"/>
      <c r="H852" s="781"/>
      <c r="I852" s="410"/>
    </row>
    <row r="853" ht="18.0" customHeight="1">
      <c r="A853" s="410"/>
      <c r="B853" s="410"/>
      <c r="C853" s="410"/>
      <c r="D853" s="410"/>
      <c r="E853" s="410"/>
      <c r="F853" s="410"/>
      <c r="G853" s="780"/>
      <c r="H853" s="781"/>
      <c r="I853" s="410"/>
    </row>
    <row r="854" ht="18.0" customHeight="1">
      <c r="A854" s="410"/>
      <c r="B854" s="410"/>
      <c r="C854" s="410"/>
      <c r="D854" s="410"/>
      <c r="E854" s="410"/>
      <c r="F854" s="410"/>
      <c r="G854" s="780"/>
      <c r="H854" s="781"/>
      <c r="I854" s="410"/>
    </row>
    <row r="855" ht="18.0" customHeight="1">
      <c r="A855" s="410"/>
      <c r="B855" s="410"/>
      <c r="C855" s="410"/>
      <c r="D855" s="410"/>
      <c r="E855" s="410"/>
      <c r="F855" s="410"/>
      <c r="G855" s="780"/>
      <c r="H855" s="781"/>
      <c r="I855" s="410"/>
    </row>
    <row r="856" ht="18.0" customHeight="1">
      <c r="A856" s="410"/>
      <c r="B856" s="410"/>
      <c r="C856" s="410"/>
      <c r="D856" s="410"/>
      <c r="E856" s="410"/>
      <c r="F856" s="410"/>
      <c r="G856" s="780"/>
      <c r="H856" s="781"/>
      <c r="I856" s="410"/>
    </row>
    <row r="857" ht="18.0" customHeight="1">
      <c r="A857" s="410"/>
      <c r="B857" s="410"/>
      <c r="C857" s="410"/>
      <c r="D857" s="410"/>
      <c r="E857" s="410"/>
      <c r="F857" s="410"/>
      <c r="G857" s="780"/>
      <c r="H857" s="781"/>
      <c r="I857" s="410"/>
    </row>
    <row r="858" ht="18.0" customHeight="1">
      <c r="A858" s="410"/>
      <c r="B858" s="410"/>
      <c r="C858" s="410"/>
      <c r="D858" s="410"/>
      <c r="E858" s="410"/>
      <c r="F858" s="410"/>
      <c r="G858" s="780"/>
      <c r="H858" s="781"/>
      <c r="I858" s="410"/>
    </row>
    <row r="859" ht="18.0" customHeight="1">
      <c r="A859" s="410"/>
      <c r="B859" s="410"/>
      <c r="C859" s="410"/>
      <c r="D859" s="410"/>
      <c r="E859" s="410"/>
      <c r="F859" s="410"/>
      <c r="G859" s="780"/>
      <c r="H859" s="781"/>
      <c r="I859" s="410"/>
    </row>
    <row r="860" ht="18.0" customHeight="1">
      <c r="A860" s="410"/>
      <c r="B860" s="410"/>
      <c r="C860" s="410"/>
      <c r="D860" s="410"/>
      <c r="E860" s="410"/>
      <c r="F860" s="410"/>
      <c r="G860" s="780"/>
      <c r="H860" s="781"/>
      <c r="I860" s="410"/>
    </row>
    <row r="861" ht="18.0" customHeight="1">
      <c r="A861" s="410"/>
      <c r="B861" s="410"/>
      <c r="C861" s="410"/>
      <c r="D861" s="410"/>
      <c r="E861" s="410"/>
      <c r="F861" s="410"/>
      <c r="G861" s="780"/>
      <c r="H861" s="781"/>
      <c r="I861" s="410"/>
    </row>
    <row r="862" ht="18.0" customHeight="1">
      <c r="A862" s="410"/>
      <c r="B862" s="410"/>
      <c r="C862" s="410"/>
      <c r="D862" s="410"/>
      <c r="E862" s="410"/>
      <c r="F862" s="410"/>
      <c r="G862" s="780"/>
      <c r="H862" s="781"/>
      <c r="I862" s="410"/>
    </row>
    <row r="863" ht="18.0" customHeight="1">
      <c r="A863" s="410"/>
      <c r="B863" s="410"/>
      <c r="C863" s="410"/>
      <c r="D863" s="410"/>
      <c r="E863" s="410"/>
      <c r="F863" s="410"/>
      <c r="G863" s="780"/>
      <c r="H863" s="781"/>
      <c r="I863" s="410"/>
    </row>
    <row r="864" ht="18.0" customHeight="1">
      <c r="A864" s="410"/>
      <c r="B864" s="410"/>
      <c r="C864" s="410"/>
      <c r="D864" s="410"/>
      <c r="E864" s="410"/>
      <c r="F864" s="410"/>
      <c r="G864" s="780"/>
      <c r="H864" s="781"/>
      <c r="I864" s="410"/>
    </row>
    <row r="865" ht="18.0" customHeight="1">
      <c r="A865" s="410"/>
      <c r="B865" s="410"/>
      <c r="C865" s="410"/>
      <c r="D865" s="410"/>
      <c r="E865" s="410"/>
      <c r="F865" s="410"/>
      <c r="G865" s="780"/>
      <c r="H865" s="781"/>
      <c r="I865" s="410"/>
    </row>
    <row r="866" ht="18.0" customHeight="1">
      <c r="A866" s="410"/>
      <c r="B866" s="410"/>
      <c r="C866" s="410"/>
      <c r="D866" s="410"/>
      <c r="E866" s="410"/>
      <c r="F866" s="410"/>
      <c r="G866" s="780"/>
      <c r="H866" s="781"/>
      <c r="I866" s="410"/>
    </row>
    <row r="867" ht="18.0" customHeight="1">
      <c r="A867" s="410"/>
      <c r="B867" s="410"/>
      <c r="C867" s="410"/>
      <c r="D867" s="410"/>
      <c r="E867" s="410"/>
      <c r="F867" s="410"/>
      <c r="G867" s="780"/>
      <c r="H867" s="781"/>
      <c r="I867" s="410"/>
    </row>
    <row r="868" ht="18.0" customHeight="1">
      <c r="A868" s="410"/>
      <c r="B868" s="410"/>
      <c r="C868" s="410"/>
      <c r="D868" s="410"/>
      <c r="E868" s="410"/>
      <c r="F868" s="410"/>
      <c r="G868" s="780"/>
      <c r="H868" s="781"/>
      <c r="I868" s="410"/>
    </row>
    <row r="869" ht="18.0" customHeight="1">
      <c r="A869" s="410"/>
      <c r="B869" s="410"/>
      <c r="C869" s="410"/>
      <c r="D869" s="410"/>
      <c r="E869" s="410"/>
      <c r="F869" s="410"/>
      <c r="G869" s="780"/>
      <c r="H869" s="781"/>
      <c r="I869" s="410"/>
    </row>
    <row r="870" ht="18.0" customHeight="1">
      <c r="A870" s="410"/>
      <c r="B870" s="410"/>
      <c r="C870" s="410"/>
      <c r="D870" s="410"/>
      <c r="E870" s="410"/>
      <c r="F870" s="410"/>
      <c r="G870" s="780"/>
      <c r="H870" s="781"/>
      <c r="I870" s="410"/>
    </row>
    <row r="871" ht="18.0" customHeight="1">
      <c r="A871" s="410"/>
      <c r="B871" s="410"/>
      <c r="C871" s="410"/>
      <c r="D871" s="410"/>
      <c r="E871" s="410"/>
      <c r="F871" s="410"/>
      <c r="G871" s="780"/>
      <c r="H871" s="781"/>
      <c r="I871" s="410"/>
    </row>
    <row r="872" ht="18.0" customHeight="1">
      <c r="A872" s="410"/>
      <c r="B872" s="410"/>
      <c r="C872" s="410"/>
      <c r="D872" s="410"/>
      <c r="E872" s="410"/>
      <c r="F872" s="410"/>
      <c r="G872" s="780"/>
      <c r="H872" s="781"/>
      <c r="I872" s="410"/>
    </row>
    <row r="873" ht="18.0" customHeight="1">
      <c r="A873" s="410"/>
      <c r="B873" s="410"/>
      <c r="C873" s="410"/>
      <c r="D873" s="410"/>
      <c r="E873" s="410"/>
      <c r="F873" s="410"/>
      <c r="G873" s="780"/>
      <c r="H873" s="781"/>
      <c r="I873" s="410"/>
    </row>
    <row r="874" ht="18.0" customHeight="1">
      <c r="A874" s="410"/>
      <c r="B874" s="410"/>
      <c r="C874" s="410"/>
      <c r="D874" s="410"/>
      <c r="E874" s="410"/>
      <c r="F874" s="410"/>
      <c r="G874" s="780"/>
      <c r="H874" s="781"/>
      <c r="I874" s="410"/>
    </row>
    <row r="875" ht="18.0" customHeight="1">
      <c r="A875" s="410"/>
      <c r="B875" s="410"/>
      <c r="C875" s="410"/>
      <c r="D875" s="410"/>
      <c r="E875" s="410"/>
      <c r="F875" s="410"/>
      <c r="G875" s="780"/>
      <c r="H875" s="781"/>
      <c r="I875" s="410"/>
    </row>
    <row r="876" ht="18.0" customHeight="1">
      <c r="A876" s="410"/>
      <c r="B876" s="410"/>
      <c r="C876" s="410"/>
      <c r="D876" s="410"/>
      <c r="E876" s="410"/>
      <c r="F876" s="410"/>
      <c r="G876" s="780"/>
      <c r="H876" s="781"/>
      <c r="I876" s="410"/>
    </row>
    <row r="877" ht="18.0" customHeight="1">
      <c r="A877" s="410"/>
      <c r="B877" s="410"/>
      <c r="C877" s="410"/>
      <c r="D877" s="410"/>
      <c r="E877" s="410"/>
      <c r="F877" s="410"/>
      <c r="G877" s="780"/>
      <c r="H877" s="781"/>
      <c r="I877" s="410"/>
    </row>
    <row r="878" ht="18.0" customHeight="1">
      <c r="A878" s="410"/>
      <c r="B878" s="410"/>
      <c r="C878" s="410"/>
      <c r="D878" s="410"/>
      <c r="E878" s="410"/>
      <c r="F878" s="410"/>
      <c r="G878" s="780"/>
      <c r="H878" s="781"/>
      <c r="I878" s="410"/>
    </row>
    <row r="879" ht="18.0" customHeight="1">
      <c r="A879" s="410"/>
      <c r="B879" s="410"/>
      <c r="C879" s="410"/>
      <c r="D879" s="410"/>
      <c r="E879" s="410"/>
      <c r="F879" s="410"/>
      <c r="G879" s="780"/>
      <c r="H879" s="781"/>
      <c r="I879" s="410"/>
    </row>
    <row r="880" ht="18.0" customHeight="1">
      <c r="A880" s="410"/>
      <c r="B880" s="410"/>
      <c r="C880" s="410"/>
      <c r="D880" s="410"/>
      <c r="E880" s="410"/>
      <c r="F880" s="410"/>
      <c r="G880" s="780"/>
      <c r="H880" s="781"/>
      <c r="I880" s="410"/>
    </row>
    <row r="881" ht="18.0" customHeight="1">
      <c r="A881" s="410"/>
      <c r="B881" s="410"/>
      <c r="C881" s="410"/>
      <c r="D881" s="410"/>
      <c r="E881" s="410"/>
      <c r="F881" s="410"/>
      <c r="G881" s="780"/>
      <c r="H881" s="781"/>
      <c r="I881" s="410"/>
    </row>
    <row r="882" ht="18.0" customHeight="1">
      <c r="A882" s="410"/>
      <c r="B882" s="410"/>
      <c r="C882" s="410"/>
      <c r="D882" s="410"/>
      <c r="E882" s="410"/>
      <c r="F882" s="410"/>
      <c r="G882" s="780"/>
      <c r="H882" s="781"/>
      <c r="I882" s="410"/>
    </row>
    <row r="883" ht="18.0" customHeight="1">
      <c r="A883" s="410"/>
      <c r="B883" s="410"/>
      <c r="C883" s="410"/>
      <c r="D883" s="410"/>
      <c r="E883" s="410"/>
      <c r="F883" s="410"/>
      <c r="G883" s="780"/>
      <c r="H883" s="781"/>
      <c r="I883" s="410"/>
    </row>
    <row r="884" ht="18.0" customHeight="1">
      <c r="A884" s="410"/>
      <c r="B884" s="410"/>
      <c r="C884" s="410"/>
      <c r="D884" s="410"/>
      <c r="E884" s="410"/>
      <c r="F884" s="410"/>
      <c r="G884" s="780"/>
      <c r="H884" s="781"/>
      <c r="I884" s="410"/>
    </row>
    <row r="885" ht="18.0" customHeight="1">
      <c r="A885" s="410"/>
      <c r="B885" s="410"/>
      <c r="C885" s="410"/>
      <c r="D885" s="410"/>
      <c r="E885" s="410"/>
      <c r="F885" s="410"/>
      <c r="G885" s="780"/>
      <c r="H885" s="781"/>
      <c r="I885" s="410"/>
    </row>
    <row r="886" ht="18.0" customHeight="1">
      <c r="A886" s="410"/>
      <c r="B886" s="410"/>
      <c r="C886" s="410"/>
      <c r="D886" s="410"/>
      <c r="E886" s="410"/>
      <c r="F886" s="410"/>
      <c r="G886" s="780"/>
      <c r="H886" s="781"/>
      <c r="I886" s="410"/>
    </row>
    <row r="887" ht="18.0" customHeight="1">
      <c r="A887" s="410"/>
      <c r="B887" s="410"/>
      <c r="C887" s="410"/>
      <c r="D887" s="410"/>
      <c r="E887" s="410"/>
      <c r="F887" s="410"/>
      <c r="G887" s="780"/>
      <c r="H887" s="781"/>
      <c r="I887" s="410"/>
    </row>
    <row r="888" ht="18.0" customHeight="1">
      <c r="A888" s="410"/>
      <c r="B888" s="410"/>
      <c r="C888" s="410"/>
      <c r="D888" s="410"/>
      <c r="E888" s="410"/>
      <c r="F888" s="410"/>
      <c r="G888" s="780"/>
      <c r="H888" s="781"/>
      <c r="I888" s="410"/>
    </row>
    <row r="889" ht="18.0" customHeight="1">
      <c r="A889" s="410"/>
      <c r="B889" s="410"/>
      <c r="C889" s="410"/>
      <c r="D889" s="410"/>
      <c r="E889" s="410"/>
      <c r="F889" s="410"/>
      <c r="G889" s="780"/>
      <c r="H889" s="781"/>
      <c r="I889" s="410"/>
    </row>
    <row r="890" ht="18.0" customHeight="1">
      <c r="A890" s="410"/>
      <c r="B890" s="410"/>
      <c r="C890" s="410"/>
      <c r="D890" s="410"/>
      <c r="E890" s="410"/>
      <c r="F890" s="410"/>
      <c r="G890" s="780"/>
      <c r="H890" s="781"/>
      <c r="I890" s="410"/>
    </row>
    <row r="891" ht="18.0" customHeight="1">
      <c r="A891" s="410"/>
      <c r="B891" s="410"/>
      <c r="C891" s="410"/>
      <c r="D891" s="410"/>
      <c r="E891" s="410"/>
      <c r="F891" s="410"/>
      <c r="G891" s="780"/>
      <c r="H891" s="781"/>
      <c r="I891" s="410"/>
    </row>
    <row r="892" ht="18.0" customHeight="1">
      <c r="A892" s="410"/>
      <c r="B892" s="410"/>
      <c r="C892" s="410"/>
      <c r="D892" s="410"/>
      <c r="E892" s="410"/>
      <c r="F892" s="410"/>
      <c r="G892" s="780"/>
      <c r="H892" s="781"/>
      <c r="I892" s="410"/>
    </row>
    <row r="893" ht="18.0" customHeight="1">
      <c r="A893" s="410"/>
      <c r="B893" s="410"/>
      <c r="C893" s="410"/>
      <c r="D893" s="410"/>
      <c r="E893" s="410"/>
      <c r="F893" s="410"/>
      <c r="G893" s="780"/>
      <c r="H893" s="781"/>
      <c r="I893" s="410"/>
    </row>
    <row r="894" ht="18.0" customHeight="1">
      <c r="A894" s="410"/>
      <c r="B894" s="410"/>
      <c r="C894" s="410"/>
      <c r="D894" s="410"/>
      <c r="E894" s="410"/>
      <c r="F894" s="410"/>
      <c r="G894" s="780"/>
      <c r="H894" s="781"/>
      <c r="I894" s="410"/>
    </row>
    <row r="895" ht="18.0" customHeight="1">
      <c r="A895" s="410"/>
      <c r="B895" s="410"/>
      <c r="C895" s="410"/>
      <c r="D895" s="410"/>
      <c r="E895" s="410"/>
      <c r="F895" s="410"/>
      <c r="G895" s="780"/>
      <c r="H895" s="781"/>
      <c r="I895" s="410"/>
    </row>
    <row r="896" ht="18.0" customHeight="1">
      <c r="A896" s="410"/>
      <c r="B896" s="410"/>
      <c r="C896" s="410"/>
      <c r="D896" s="410"/>
      <c r="E896" s="410"/>
      <c r="F896" s="410"/>
      <c r="G896" s="780"/>
      <c r="H896" s="781"/>
      <c r="I896" s="410"/>
    </row>
    <row r="897" ht="18.0" customHeight="1">
      <c r="A897" s="410"/>
      <c r="B897" s="410"/>
      <c r="C897" s="410"/>
      <c r="D897" s="410"/>
      <c r="E897" s="410"/>
      <c r="F897" s="410"/>
      <c r="G897" s="780"/>
      <c r="H897" s="781"/>
      <c r="I897" s="410"/>
    </row>
    <row r="898" ht="18.0" customHeight="1">
      <c r="A898" s="410"/>
      <c r="B898" s="410"/>
      <c r="C898" s="410"/>
      <c r="D898" s="410"/>
      <c r="E898" s="410"/>
      <c r="F898" s="410"/>
      <c r="G898" s="780"/>
      <c r="H898" s="781"/>
      <c r="I898" s="410"/>
    </row>
    <row r="899" ht="18.0" customHeight="1">
      <c r="A899" s="410"/>
      <c r="B899" s="410"/>
      <c r="C899" s="410"/>
      <c r="D899" s="410"/>
      <c r="E899" s="410"/>
      <c r="F899" s="410"/>
      <c r="G899" s="780"/>
      <c r="H899" s="781"/>
      <c r="I899" s="410"/>
    </row>
    <row r="900" ht="18.0" customHeight="1">
      <c r="A900" s="410"/>
      <c r="B900" s="410"/>
      <c r="C900" s="410"/>
      <c r="D900" s="410"/>
      <c r="E900" s="410"/>
      <c r="F900" s="410"/>
      <c r="G900" s="780"/>
      <c r="H900" s="781"/>
      <c r="I900" s="410"/>
    </row>
    <row r="901" ht="18.0" customHeight="1">
      <c r="A901" s="410"/>
      <c r="B901" s="410"/>
      <c r="C901" s="410"/>
      <c r="D901" s="410"/>
      <c r="E901" s="410"/>
      <c r="F901" s="410"/>
      <c r="G901" s="780"/>
      <c r="H901" s="781"/>
      <c r="I901" s="410"/>
    </row>
    <row r="902" ht="18.0" customHeight="1">
      <c r="A902" s="410"/>
      <c r="B902" s="410"/>
      <c r="C902" s="410"/>
      <c r="D902" s="410"/>
      <c r="E902" s="410"/>
      <c r="F902" s="410"/>
      <c r="G902" s="780"/>
      <c r="H902" s="781"/>
      <c r="I902" s="410"/>
    </row>
    <row r="903" ht="18.0" customHeight="1">
      <c r="A903" s="410"/>
      <c r="B903" s="410"/>
      <c r="C903" s="410"/>
      <c r="D903" s="410"/>
      <c r="E903" s="410"/>
      <c r="F903" s="410"/>
      <c r="G903" s="780"/>
      <c r="H903" s="781"/>
      <c r="I903" s="410"/>
    </row>
    <row r="904" ht="18.0" customHeight="1">
      <c r="A904" s="410"/>
      <c r="B904" s="410"/>
      <c r="C904" s="410"/>
      <c r="D904" s="410"/>
      <c r="E904" s="410"/>
      <c r="F904" s="410"/>
      <c r="G904" s="780"/>
      <c r="H904" s="781"/>
      <c r="I904" s="410"/>
    </row>
    <row r="905" ht="18.0" customHeight="1">
      <c r="A905" s="410"/>
      <c r="B905" s="410"/>
      <c r="C905" s="410"/>
      <c r="D905" s="410"/>
      <c r="E905" s="410"/>
      <c r="F905" s="410"/>
      <c r="G905" s="780"/>
      <c r="H905" s="781"/>
      <c r="I905" s="410"/>
    </row>
    <row r="906" ht="18.0" customHeight="1">
      <c r="A906" s="410"/>
      <c r="B906" s="410"/>
      <c r="C906" s="410"/>
      <c r="D906" s="410"/>
      <c r="E906" s="410"/>
      <c r="F906" s="410"/>
      <c r="G906" s="780"/>
      <c r="H906" s="781"/>
      <c r="I906" s="410"/>
    </row>
    <row r="907" ht="18.0" customHeight="1">
      <c r="A907" s="410"/>
      <c r="B907" s="410"/>
      <c r="C907" s="410"/>
      <c r="D907" s="410"/>
      <c r="E907" s="410"/>
      <c r="F907" s="410"/>
      <c r="G907" s="780"/>
      <c r="H907" s="781"/>
      <c r="I907" s="410"/>
    </row>
    <row r="908" ht="18.0" customHeight="1">
      <c r="A908" s="410"/>
      <c r="B908" s="410"/>
      <c r="C908" s="410"/>
      <c r="D908" s="410"/>
      <c r="E908" s="410"/>
      <c r="F908" s="410"/>
      <c r="G908" s="780"/>
      <c r="H908" s="781"/>
      <c r="I908" s="410"/>
    </row>
    <row r="909" ht="18.0" customHeight="1">
      <c r="A909" s="410"/>
      <c r="B909" s="410"/>
      <c r="C909" s="410"/>
      <c r="D909" s="410"/>
      <c r="E909" s="410"/>
      <c r="F909" s="410"/>
      <c r="G909" s="780"/>
      <c r="H909" s="781"/>
      <c r="I909" s="410"/>
    </row>
    <row r="910" ht="18.0" customHeight="1">
      <c r="A910" s="410"/>
      <c r="B910" s="410"/>
      <c r="C910" s="410"/>
      <c r="D910" s="410"/>
      <c r="E910" s="410"/>
      <c r="F910" s="410"/>
      <c r="G910" s="780"/>
      <c r="H910" s="781"/>
      <c r="I910" s="410"/>
    </row>
    <row r="911" ht="18.0" customHeight="1">
      <c r="A911" s="410"/>
      <c r="B911" s="410"/>
      <c r="C911" s="410"/>
      <c r="D911" s="410"/>
      <c r="E911" s="410"/>
      <c r="F911" s="410"/>
      <c r="G911" s="780"/>
      <c r="H911" s="781"/>
      <c r="I911" s="410"/>
    </row>
    <row r="912" ht="18.0" customHeight="1">
      <c r="A912" s="410"/>
      <c r="B912" s="410"/>
      <c r="C912" s="410"/>
      <c r="D912" s="410"/>
      <c r="E912" s="410"/>
      <c r="F912" s="410"/>
      <c r="G912" s="780"/>
      <c r="H912" s="781"/>
      <c r="I912" s="410"/>
    </row>
    <row r="913" ht="18.0" customHeight="1">
      <c r="A913" s="410"/>
      <c r="B913" s="410"/>
      <c r="C913" s="410"/>
      <c r="D913" s="410"/>
      <c r="E913" s="410"/>
      <c r="F913" s="410"/>
      <c r="G913" s="780"/>
      <c r="H913" s="781"/>
      <c r="I913" s="410"/>
    </row>
    <row r="914" ht="18.0" customHeight="1">
      <c r="A914" s="410"/>
      <c r="B914" s="410"/>
      <c r="C914" s="410"/>
      <c r="D914" s="410"/>
      <c r="E914" s="410"/>
      <c r="F914" s="410"/>
      <c r="G914" s="780"/>
      <c r="H914" s="781"/>
      <c r="I914" s="410"/>
    </row>
    <row r="915" ht="18.0" customHeight="1">
      <c r="A915" s="410"/>
      <c r="B915" s="410"/>
      <c r="C915" s="410"/>
      <c r="D915" s="410"/>
      <c r="E915" s="410"/>
      <c r="F915" s="410"/>
      <c r="G915" s="780"/>
      <c r="H915" s="781"/>
      <c r="I915" s="410"/>
    </row>
    <row r="916" ht="18.0" customHeight="1">
      <c r="A916" s="410"/>
      <c r="B916" s="410"/>
      <c r="C916" s="410"/>
      <c r="D916" s="410"/>
      <c r="E916" s="410"/>
      <c r="F916" s="410"/>
      <c r="G916" s="780"/>
      <c r="H916" s="781"/>
      <c r="I916" s="410"/>
    </row>
    <row r="917" ht="18.0" customHeight="1">
      <c r="A917" s="410"/>
      <c r="B917" s="410"/>
      <c r="C917" s="410"/>
      <c r="D917" s="410"/>
      <c r="E917" s="410"/>
      <c r="F917" s="410"/>
      <c r="G917" s="780"/>
      <c r="H917" s="781"/>
      <c r="I917" s="410"/>
    </row>
    <row r="918" ht="18.0" customHeight="1">
      <c r="A918" s="410"/>
      <c r="B918" s="410"/>
      <c r="C918" s="410"/>
      <c r="D918" s="410"/>
      <c r="E918" s="410"/>
      <c r="F918" s="410"/>
      <c r="G918" s="780"/>
      <c r="H918" s="781"/>
      <c r="I918" s="410"/>
    </row>
    <row r="919" ht="18.0" customHeight="1">
      <c r="A919" s="410"/>
      <c r="B919" s="410"/>
      <c r="C919" s="410"/>
      <c r="D919" s="410"/>
      <c r="E919" s="410"/>
      <c r="F919" s="410"/>
      <c r="G919" s="780"/>
      <c r="H919" s="781"/>
      <c r="I919" s="410"/>
    </row>
    <row r="920" ht="18.0" customHeight="1">
      <c r="A920" s="410"/>
      <c r="B920" s="410"/>
      <c r="C920" s="410"/>
      <c r="D920" s="410"/>
      <c r="E920" s="410"/>
      <c r="F920" s="410"/>
      <c r="G920" s="780"/>
      <c r="H920" s="781"/>
      <c r="I920" s="410"/>
    </row>
    <row r="921" ht="18.0" customHeight="1">
      <c r="A921" s="410"/>
      <c r="B921" s="410"/>
      <c r="C921" s="410"/>
      <c r="D921" s="410"/>
      <c r="E921" s="410"/>
      <c r="F921" s="410"/>
      <c r="G921" s="780"/>
      <c r="H921" s="781"/>
      <c r="I921" s="410"/>
    </row>
    <row r="922" ht="18.0" customHeight="1">
      <c r="A922" s="410"/>
      <c r="B922" s="410"/>
      <c r="C922" s="410"/>
      <c r="D922" s="410"/>
      <c r="E922" s="410"/>
      <c r="F922" s="410"/>
      <c r="G922" s="780"/>
      <c r="H922" s="781"/>
      <c r="I922" s="410"/>
    </row>
    <row r="923" ht="18.0" customHeight="1">
      <c r="A923" s="410"/>
      <c r="B923" s="410"/>
      <c r="C923" s="410"/>
      <c r="D923" s="410"/>
      <c r="E923" s="410"/>
      <c r="F923" s="410"/>
      <c r="G923" s="780"/>
      <c r="H923" s="781"/>
      <c r="I923" s="410"/>
    </row>
    <row r="924" ht="18.0" customHeight="1">
      <c r="A924" s="410"/>
      <c r="B924" s="410"/>
      <c r="C924" s="410"/>
      <c r="D924" s="410"/>
      <c r="E924" s="410"/>
      <c r="F924" s="410"/>
      <c r="G924" s="780"/>
      <c r="H924" s="781"/>
      <c r="I924" s="410"/>
    </row>
    <row r="925" ht="18.0" customHeight="1">
      <c r="A925" s="410"/>
      <c r="B925" s="410"/>
      <c r="C925" s="410"/>
      <c r="D925" s="410"/>
      <c r="E925" s="410"/>
      <c r="F925" s="410"/>
      <c r="G925" s="780"/>
      <c r="H925" s="781"/>
      <c r="I925" s="410"/>
    </row>
    <row r="926" ht="18.0" customHeight="1">
      <c r="A926" s="410"/>
      <c r="B926" s="410"/>
      <c r="C926" s="410"/>
      <c r="D926" s="410"/>
      <c r="E926" s="410"/>
      <c r="F926" s="410"/>
      <c r="G926" s="780"/>
      <c r="H926" s="781"/>
      <c r="I926" s="410"/>
    </row>
    <row r="927" ht="18.0" customHeight="1">
      <c r="A927" s="410"/>
      <c r="B927" s="410"/>
      <c r="C927" s="410"/>
      <c r="D927" s="410"/>
      <c r="E927" s="410"/>
      <c r="F927" s="410"/>
      <c r="G927" s="780"/>
      <c r="H927" s="781"/>
      <c r="I927" s="410"/>
    </row>
    <row r="928" ht="18.0" customHeight="1">
      <c r="A928" s="410"/>
      <c r="B928" s="410"/>
      <c r="C928" s="410"/>
      <c r="D928" s="410"/>
      <c r="E928" s="410"/>
      <c r="F928" s="410"/>
      <c r="G928" s="780"/>
      <c r="H928" s="781"/>
      <c r="I928" s="410"/>
    </row>
    <row r="929" ht="18.0" customHeight="1">
      <c r="A929" s="410"/>
      <c r="B929" s="410"/>
      <c r="C929" s="410"/>
      <c r="D929" s="410"/>
      <c r="E929" s="410"/>
      <c r="F929" s="410"/>
      <c r="G929" s="780"/>
      <c r="H929" s="781"/>
      <c r="I929" s="410"/>
    </row>
    <row r="930" ht="18.0" customHeight="1">
      <c r="A930" s="410"/>
      <c r="B930" s="410"/>
      <c r="C930" s="410"/>
      <c r="D930" s="410"/>
      <c r="E930" s="410"/>
      <c r="F930" s="410"/>
      <c r="G930" s="780"/>
      <c r="H930" s="781"/>
      <c r="I930" s="410"/>
    </row>
    <row r="931" ht="18.0" customHeight="1">
      <c r="A931" s="410"/>
      <c r="B931" s="410"/>
      <c r="C931" s="410"/>
      <c r="D931" s="410"/>
      <c r="E931" s="410"/>
      <c r="F931" s="410"/>
      <c r="G931" s="780"/>
      <c r="H931" s="781"/>
      <c r="I931" s="410"/>
    </row>
    <row r="932" ht="18.0" customHeight="1">
      <c r="A932" s="410"/>
      <c r="B932" s="410"/>
      <c r="C932" s="410"/>
      <c r="D932" s="410"/>
      <c r="E932" s="410"/>
      <c r="F932" s="410"/>
      <c r="G932" s="780"/>
      <c r="H932" s="781"/>
      <c r="I932" s="410"/>
    </row>
    <row r="933" ht="18.0" customHeight="1">
      <c r="A933" s="410"/>
      <c r="B933" s="410"/>
      <c r="C933" s="410"/>
      <c r="D933" s="410"/>
      <c r="E933" s="410"/>
      <c r="F933" s="410"/>
      <c r="G933" s="780"/>
      <c r="H933" s="781"/>
      <c r="I933" s="410"/>
    </row>
    <row r="934" ht="18.0" customHeight="1">
      <c r="A934" s="410"/>
      <c r="B934" s="410"/>
      <c r="C934" s="410"/>
      <c r="D934" s="410"/>
      <c r="E934" s="410"/>
      <c r="F934" s="410"/>
      <c r="G934" s="780"/>
      <c r="H934" s="781"/>
      <c r="I934" s="410"/>
    </row>
    <row r="935" ht="18.0" customHeight="1">
      <c r="A935" s="410"/>
      <c r="B935" s="410"/>
      <c r="C935" s="410"/>
      <c r="D935" s="410"/>
      <c r="E935" s="410"/>
      <c r="F935" s="410"/>
      <c r="G935" s="780"/>
      <c r="H935" s="781"/>
      <c r="I935" s="410"/>
    </row>
    <row r="936" ht="18.0" customHeight="1">
      <c r="A936" s="410"/>
      <c r="B936" s="410"/>
      <c r="C936" s="410"/>
      <c r="D936" s="410"/>
      <c r="E936" s="410"/>
      <c r="F936" s="410"/>
      <c r="G936" s="780"/>
      <c r="H936" s="781"/>
      <c r="I936" s="410"/>
    </row>
    <row r="937" ht="18.0" customHeight="1">
      <c r="A937" s="410"/>
      <c r="B937" s="410"/>
      <c r="C937" s="410"/>
      <c r="D937" s="410"/>
      <c r="E937" s="410"/>
      <c r="F937" s="410"/>
      <c r="G937" s="780"/>
      <c r="H937" s="781"/>
      <c r="I937" s="410"/>
    </row>
    <row r="938" ht="18.0" customHeight="1">
      <c r="A938" s="410"/>
      <c r="B938" s="410"/>
      <c r="C938" s="410"/>
      <c r="D938" s="410"/>
      <c r="E938" s="410"/>
      <c r="F938" s="410"/>
      <c r="G938" s="780"/>
      <c r="H938" s="781"/>
      <c r="I938" s="410"/>
    </row>
    <row r="939" ht="18.0" customHeight="1">
      <c r="A939" s="410"/>
      <c r="B939" s="410"/>
      <c r="C939" s="410"/>
      <c r="D939" s="410"/>
      <c r="E939" s="410"/>
      <c r="F939" s="410"/>
      <c r="G939" s="780"/>
      <c r="H939" s="781"/>
      <c r="I939" s="410"/>
    </row>
    <row r="940" ht="18.0" customHeight="1">
      <c r="A940" s="410"/>
      <c r="B940" s="410"/>
      <c r="C940" s="410"/>
      <c r="D940" s="410"/>
      <c r="E940" s="410"/>
      <c r="F940" s="410"/>
      <c r="G940" s="780"/>
      <c r="H940" s="781"/>
      <c r="I940" s="410"/>
    </row>
    <row r="941" ht="18.0" customHeight="1">
      <c r="A941" s="410"/>
      <c r="B941" s="410"/>
      <c r="C941" s="410"/>
      <c r="D941" s="410"/>
      <c r="E941" s="410"/>
      <c r="F941" s="410"/>
      <c r="G941" s="780"/>
      <c r="H941" s="781"/>
      <c r="I941" s="410"/>
    </row>
    <row r="942" ht="18.0" customHeight="1">
      <c r="A942" s="410"/>
      <c r="B942" s="410"/>
      <c r="C942" s="410"/>
      <c r="D942" s="410"/>
      <c r="E942" s="410"/>
      <c r="F942" s="410"/>
      <c r="G942" s="780"/>
      <c r="H942" s="781"/>
      <c r="I942" s="410"/>
    </row>
    <row r="943" ht="18.0" customHeight="1">
      <c r="A943" s="410"/>
      <c r="B943" s="410"/>
      <c r="C943" s="410"/>
      <c r="D943" s="410"/>
      <c r="E943" s="410"/>
      <c r="F943" s="410"/>
      <c r="G943" s="780"/>
      <c r="H943" s="781"/>
      <c r="I943" s="410"/>
    </row>
    <row r="944" ht="18.0" customHeight="1">
      <c r="A944" s="410"/>
      <c r="B944" s="410"/>
      <c r="C944" s="410"/>
      <c r="D944" s="410"/>
      <c r="E944" s="410"/>
      <c r="F944" s="410"/>
      <c r="G944" s="780"/>
      <c r="H944" s="781"/>
      <c r="I944" s="410"/>
    </row>
    <row r="945" ht="18.0" customHeight="1">
      <c r="A945" s="410"/>
      <c r="B945" s="410"/>
      <c r="C945" s="410"/>
      <c r="D945" s="410"/>
      <c r="E945" s="410"/>
      <c r="F945" s="410"/>
      <c r="G945" s="780"/>
      <c r="H945" s="781"/>
      <c r="I945" s="410"/>
    </row>
    <row r="946" ht="18.0" customHeight="1">
      <c r="A946" s="410"/>
      <c r="B946" s="410"/>
      <c r="C946" s="410"/>
      <c r="D946" s="410"/>
      <c r="E946" s="410"/>
      <c r="F946" s="410"/>
      <c r="G946" s="780"/>
      <c r="H946" s="781"/>
      <c r="I946" s="410"/>
    </row>
    <row r="947" ht="18.0" customHeight="1">
      <c r="A947" s="410"/>
      <c r="B947" s="410"/>
      <c r="C947" s="410"/>
      <c r="D947" s="410"/>
      <c r="E947" s="410"/>
      <c r="F947" s="410"/>
      <c r="G947" s="780"/>
      <c r="H947" s="781"/>
      <c r="I947" s="410"/>
    </row>
    <row r="948" ht="18.0" customHeight="1">
      <c r="A948" s="410"/>
      <c r="B948" s="410"/>
      <c r="C948" s="410"/>
      <c r="D948" s="410"/>
      <c r="E948" s="410"/>
      <c r="F948" s="410"/>
      <c r="G948" s="780"/>
      <c r="H948" s="781"/>
      <c r="I948" s="410"/>
    </row>
    <row r="949" ht="18.0" customHeight="1">
      <c r="A949" s="410"/>
      <c r="B949" s="410"/>
      <c r="C949" s="410"/>
      <c r="D949" s="410"/>
      <c r="E949" s="410"/>
      <c r="F949" s="410"/>
      <c r="G949" s="780"/>
      <c r="H949" s="781"/>
      <c r="I949" s="410"/>
    </row>
    <row r="950" ht="18.0" customHeight="1">
      <c r="A950" s="410"/>
      <c r="B950" s="410"/>
      <c r="C950" s="410"/>
      <c r="D950" s="410"/>
      <c r="E950" s="410"/>
      <c r="F950" s="410"/>
      <c r="G950" s="780"/>
      <c r="H950" s="781"/>
      <c r="I950" s="410"/>
    </row>
    <row r="951" ht="18.0" customHeight="1">
      <c r="A951" s="410"/>
      <c r="B951" s="410"/>
      <c r="C951" s="410"/>
      <c r="D951" s="410"/>
      <c r="E951" s="410"/>
      <c r="F951" s="410"/>
      <c r="G951" s="780"/>
      <c r="H951" s="781"/>
      <c r="I951" s="410"/>
    </row>
    <row r="952" ht="18.0" customHeight="1">
      <c r="A952" s="410"/>
      <c r="B952" s="410"/>
      <c r="C952" s="410"/>
      <c r="D952" s="410"/>
      <c r="E952" s="410"/>
      <c r="F952" s="410"/>
      <c r="G952" s="780"/>
      <c r="H952" s="781"/>
      <c r="I952" s="410"/>
    </row>
    <row r="953" ht="18.0" customHeight="1">
      <c r="A953" s="410"/>
      <c r="B953" s="410"/>
      <c r="C953" s="410"/>
      <c r="D953" s="410"/>
      <c r="E953" s="410"/>
      <c r="F953" s="410"/>
      <c r="G953" s="780"/>
      <c r="H953" s="781"/>
      <c r="I953" s="410"/>
    </row>
    <row r="954" ht="18.0" customHeight="1">
      <c r="A954" s="410"/>
      <c r="B954" s="410"/>
      <c r="C954" s="410"/>
      <c r="D954" s="410"/>
      <c r="E954" s="410"/>
      <c r="F954" s="410"/>
      <c r="G954" s="780"/>
      <c r="H954" s="781"/>
      <c r="I954" s="410"/>
    </row>
    <row r="955" ht="18.0" customHeight="1">
      <c r="A955" s="410"/>
      <c r="B955" s="410"/>
      <c r="C955" s="410"/>
      <c r="D955" s="410"/>
      <c r="E955" s="410"/>
      <c r="F955" s="410"/>
      <c r="G955" s="780"/>
      <c r="H955" s="781"/>
      <c r="I955" s="410"/>
    </row>
    <row r="956" ht="18.0" customHeight="1">
      <c r="A956" s="410"/>
      <c r="B956" s="410"/>
      <c r="C956" s="410"/>
      <c r="D956" s="410"/>
      <c r="E956" s="410"/>
      <c r="F956" s="410"/>
      <c r="G956" s="780"/>
      <c r="H956" s="781"/>
      <c r="I956" s="410"/>
    </row>
    <row r="957" ht="18.0" customHeight="1">
      <c r="A957" s="410"/>
      <c r="B957" s="410"/>
      <c r="C957" s="410"/>
      <c r="D957" s="410"/>
      <c r="E957" s="410"/>
      <c r="F957" s="410"/>
      <c r="G957" s="780"/>
      <c r="H957" s="781"/>
      <c r="I957" s="410"/>
    </row>
    <row r="958" ht="18.0" customHeight="1">
      <c r="A958" s="410"/>
      <c r="B958" s="410"/>
      <c r="C958" s="410"/>
      <c r="D958" s="410"/>
      <c r="E958" s="410"/>
      <c r="F958" s="410"/>
      <c r="G958" s="780"/>
      <c r="H958" s="781"/>
      <c r="I958" s="410"/>
    </row>
    <row r="959" ht="18.0" customHeight="1">
      <c r="A959" s="410"/>
      <c r="B959" s="410"/>
      <c r="C959" s="410"/>
      <c r="D959" s="410"/>
      <c r="E959" s="410"/>
      <c r="F959" s="410"/>
      <c r="G959" s="780"/>
      <c r="H959" s="781"/>
      <c r="I959" s="410"/>
    </row>
    <row r="960" ht="18.0" customHeight="1">
      <c r="A960" s="410"/>
      <c r="B960" s="410"/>
      <c r="C960" s="410"/>
      <c r="D960" s="410"/>
      <c r="E960" s="410"/>
      <c r="F960" s="410"/>
      <c r="G960" s="780"/>
      <c r="H960" s="781"/>
      <c r="I960" s="410"/>
    </row>
    <row r="961" ht="18.0" customHeight="1">
      <c r="A961" s="410"/>
      <c r="B961" s="410"/>
      <c r="C961" s="410"/>
      <c r="D961" s="410"/>
      <c r="E961" s="410"/>
      <c r="F961" s="410"/>
      <c r="G961" s="780"/>
      <c r="H961" s="781"/>
      <c r="I961" s="410"/>
    </row>
    <row r="962" ht="18.0" customHeight="1">
      <c r="A962" s="410"/>
      <c r="B962" s="410"/>
      <c r="C962" s="410"/>
      <c r="D962" s="410"/>
      <c r="E962" s="410"/>
      <c r="F962" s="410"/>
      <c r="G962" s="780"/>
      <c r="H962" s="781"/>
      <c r="I962" s="410"/>
    </row>
    <row r="963" ht="18.0" customHeight="1">
      <c r="A963" s="410"/>
      <c r="B963" s="410"/>
      <c r="C963" s="410"/>
      <c r="D963" s="410"/>
      <c r="E963" s="410"/>
      <c r="F963" s="410"/>
      <c r="G963" s="780"/>
      <c r="H963" s="781"/>
      <c r="I963" s="410"/>
    </row>
    <row r="964" ht="18.0" customHeight="1">
      <c r="A964" s="410"/>
      <c r="B964" s="410"/>
      <c r="C964" s="410"/>
      <c r="D964" s="410"/>
      <c r="E964" s="410"/>
      <c r="F964" s="410"/>
      <c r="G964" s="780"/>
      <c r="H964" s="781"/>
      <c r="I964" s="410"/>
    </row>
    <row r="965" ht="18.0" customHeight="1">
      <c r="A965" s="410"/>
      <c r="B965" s="410"/>
      <c r="C965" s="410"/>
      <c r="D965" s="410"/>
      <c r="E965" s="410"/>
      <c r="F965" s="410"/>
      <c r="G965" s="780"/>
      <c r="H965" s="781"/>
      <c r="I965" s="410"/>
    </row>
    <row r="966" ht="18.0" customHeight="1">
      <c r="A966" s="410"/>
      <c r="B966" s="410"/>
      <c r="C966" s="410"/>
      <c r="D966" s="410"/>
      <c r="E966" s="410"/>
      <c r="F966" s="410"/>
      <c r="G966" s="780"/>
      <c r="H966" s="781"/>
      <c r="I966" s="410"/>
    </row>
    <row r="967" ht="18.0" customHeight="1">
      <c r="A967" s="410"/>
      <c r="B967" s="410"/>
      <c r="C967" s="410"/>
      <c r="D967" s="410"/>
      <c r="E967" s="410"/>
      <c r="F967" s="410"/>
      <c r="G967" s="780"/>
      <c r="H967" s="781"/>
      <c r="I967" s="410"/>
    </row>
    <row r="968" ht="18.0" customHeight="1">
      <c r="A968" s="410"/>
      <c r="B968" s="410"/>
      <c r="C968" s="410"/>
      <c r="D968" s="410"/>
      <c r="E968" s="410"/>
      <c r="F968" s="410"/>
      <c r="G968" s="780"/>
      <c r="H968" s="781"/>
      <c r="I968" s="410"/>
    </row>
    <row r="969" ht="18.0" customHeight="1">
      <c r="A969" s="410"/>
      <c r="B969" s="410"/>
      <c r="C969" s="410"/>
      <c r="D969" s="410"/>
      <c r="E969" s="410"/>
      <c r="F969" s="410"/>
      <c r="G969" s="780"/>
      <c r="H969" s="781"/>
      <c r="I969" s="410"/>
    </row>
    <row r="970" ht="18.0" customHeight="1">
      <c r="A970" s="410"/>
      <c r="B970" s="410"/>
      <c r="C970" s="410"/>
      <c r="D970" s="410"/>
      <c r="E970" s="410"/>
      <c r="F970" s="410"/>
      <c r="G970" s="780"/>
      <c r="H970" s="781"/>
      <c r="I970" s="410"/>
    </row>
    <row r="971" ht="18.0" customHeight="1">
      <c r="A971" s="410"/>
      <c r="B971" s="410"/>
      <c r="C971" s="410"/>
      <c r="D971" s="410"/>
      <c r="E971" s="410"/>
      <c r="F971" s="410"/>
      <c r="G971" s="780"/>
      <c r="H971" s="781"/>
      <c r="I971" s="410"/>
    </row>
    <row r="972" ht="18.0" customHeight="1">
      <c r="A972" s="410"/>
      <c r="B972" s="410"/>
      <c r="C972" s="410"/>
      <c r="D972" s="410"/>
      <c r="E972" s="410"/>
      <c r="F972" s="410"/>
      <c r="G972" s="780"/>
      <c r="H972" s="781"/>
      <c r="I972" s="410"/>
    </row>
    <row r="973" ht="18.0" customHeight="1">
      <c r="A973" s="410"/>
      <c r="B973" s="410"/>
      <c r="C973" s="410"/>
      <c r="D973" s="410"/>
      <c r="E973" s="410"/>
      <c r="F973" s="410"/>
      <c r="G973" s="780"/>
      <c r="H973" s="781"/>
      <c r="I973" s="410"/>
    </row>
    <row r="974" ht="18.0" customHeight="1">
      <c r="A974" s="410"/>
      <c r="B974" s="410"/>
      <c r="C974" s="410"/>
      <c r="D974" s="410"/>
      <c r="E974" s="410"/>
      <c r="F974" s="410"/>
      <c r="G974" s="780"/>
      <c r="H974" s="781"/>
      <c r="I974" s="410"/>
    </row>
    <row r="975" ht="18.0" customHeight="1">
      <c r="A975" s="410"/>
      <c r="B975" s="410"/>
      <c r="C975" s="410"/>
      <c r="D975" s="410"/>
      <c r="E975" s="410"/>
      <c r="F975" s="410"/>
      <c r="G975" s="780"/>
      <c r="H975" s="781"/>
      <c r="I975" s="410"/>
    </row>
    <row r="976" ht="18.0" customHeight="1">
      <c r="A976" s="410"/>
      <c r="B976" s="410"/>
      <c r="C976" s="410"/>
      <c r="D976" s="410"/>
      <c r="E976" s="410"/>
      <c r="F976" s="410"/>
      <c r="G976" s="780"/>
      <c r="H976" s="781"/>
      <c r="I976" s="410"/>
    </row>
    <row r="977" ht="18.0" customHeight="1">
      <c r="A977" s="410"/>
      <c r="B977" s="410"/>
      <c r="C977" s="410"/>
      <c r="D977" s="410"/>
      <c r="E977" s="410"/>
      <c r="F977" s="410"/>
      <c r="G977" s="780"/>
      <c r="H977" s="781"/>
      <c r="I977" s="410"/>
    </row>
    <row r="978" ht="18.0" customHeight="1">
      <c r="A978" s="410"/>
      <c r="B978" s="410"/>
      <c r="C978" s="410"/>
      <c r="D978" s="410"/>
      <c r="E978" s="410"/>
      <c r="F978" s="410"/>
      <c r="G978" s="780"/>
      <c r="H978" s="781"/>
      <c r="I978" s="410"/>
    </row>
    <row r="979" ht="18.0" customHeight="1">
      <c r="A979" s="410"/>
      <c r="B979" s="410"/>
      <c r="C979" s="410"/>
      <c r="D979" s="410"/>
      <c r="E979" s="410"/>
      <c r="F979" s="410"/>
      <c r="G979" s="780"/>
      <c r="H979" s="781"/>
      <c r="I979" s="410"/>
    </row>
    <row r="980" ht="18.0" customHeight="1">
      <c r="A980" s="410"/>
      <c r="B980" s="410"/>
      <c r="C980" s="410"/>
      <c r="D980" s="410"/>
      <c r="E980" s="410"/>
      <c r="F980" s="410"/>
      <c r="G980" s="780"/>
      <c r="H980" s="781"/>
      <c r="I980" s="410"/>
    </row>
    <row r="981" ht="18.0" customHeight="1">
      <c r="A981" s="410"/>
      <c r="B981" s="410"/>
      <c r="C981" s="410"/>
      <c r="D981" s="410"/>
      <c r="E981" s="410"/>
      <c r="F981" s="410"/>
      <c r="G981" s="780"/>
      <c r="H981" s="781"/>
      <c r="I981" s="410"/>
    </row>
    <row r="982" ht="18.0" customHeight="1">
      <c r="A982" s="410"/>
      <c r="B982" s="410"/>
      <c r="C982" s="410"/>
      <c r="D982" s="410"/>
      <c r="E982" s="410"/>
      <c r="F982" s="410"/>
      <c r="G982" s="780"/>
      <c r="H982" s="781"/>
      <c r="I982" s="410"/>
    </row>
    <row r="983" ht="18.0" customHeight="1">
      <c r="A983" s="410"/>
      <c r="B983" s="410"/>
      <c r="C983" s="410"/>
      <c r="D983" s="410"/>
      <c r="E983" s="410"/>
      <c r="F983" s="410"/>
      <c r="G983" s="780"/>
      <c r="H983" s="781"/>
      <c r="I983" s="410"/>
    </row>
    <row r="984" ht="18.0" customHeight="1">
      <c r="A984" s="410"/>
      <c r="B984" s="410"/>
      <c r="C984" s="410"/>
      <c r="D984" s="410"/>
      <c r="E984" s="410"/>
      <c r="F984" s="410"/>
      <c r="G984" s="780"/>
      <c r="H984" s="781"/>
      <c r="I984" s="410"/>
    </row>
    <row r="985" ht="18.0" customHeight="1">
      <c r="A985" s="410"/>
      <c r="B985" s="410"/>
      <c r="C985" s="410"/>
      <c r="D985" s="410"/>
      <c r="E985" s="410"/>
      <c r="F985" s="410"/>
      <c r="G985" s="780"/>
      <c r="H985" s="781"/>
      <c r="I985" s="410"/>
    </row>
    <row r="986" ht="18.0" customHeight="1">
      <c r="A986" s="410"/>
      <c r="B986" s="410"/>
      <c r="C986" s="410"/>
      <c r="D986" s="410"/>
      <c r="E986" s="410"/>
      <c r="F986" s="410"/>
      <c r="G986" s="780"/>
      <c r="H986" s="781"/>
      <c r="I986" s="410"/>
    </row>
    <row r="987" ht="18.0" customHeight="1">
      <c r="A987" s="410"/>
      <c r="B987" s="410"/>
      <c r="C987" s="410"/>
      <c r="D987" s="410"/>
      <c r="E987" s="410"/>
      <c r="F987" s="410"/>
      <c r="G987" s="780"/>
      <c r="H987" s="781"/>
      <c r="I987" s="410"/>
    </row>
    <row r="988" ht="18.0" customHeight="1">
      <c r="A988" s="410"/>
      <c r="B988" s="410"/>
      <c r="C988" s="410"/>
      <c r="D988" s="410"/>
      <c r="E988" s="410"/>
      <c r="F988" s="410"/>
      <c r="G988" s="780"/>
      <c r="H988" s="781"/>
      <c r="I988" s="410"/>
    </row>
    <row r="989" ht="18.0" customHeight="1">
      <c r="A989" s="410"/>
      <c r="B989" s="410"/>
      <c r="C989" s="410"/>
      <c r="D989" s="410"/>
      <c r="E989" s="410"/>
      <c r="F989" s="410"/>
      <c r="G989" s="780"/>
      <c r="H989" s="781"/>
      <c r="I989" s="410"/>
    </row>
    <row r="990" ht="18.0" customHeight="1">
      <c r="A990" s="410"/>
      <c r="B990" s="410"/>
      <c r="C990" s="410"/>
      <c r="D990" s="410"/>
      <c r="E990" s="410"/>
      <c r="F990" s="410"/>
      <c r="G990" s="780"/>
      <c r="H990" s="781"/>
      <c r="I990" s="410"/>
    </row>
    <row r="991" ht="18.0" customHeight="1">
      <c r="A991" s="410"/>
      <c r="B991" s="410"/>
      <c r="C991" s="410"/>
      <c r="D991" s="410"/>
      <c r="E991" s="410"/>
      <c r="F991" s="410"/>
      <c r="G991" s="780"/>
      <c r="H991" s="781"/>
      <c r="I991" s="410"/>
    </row>
    <row r="992" ht="18.0" customHeight="1">
      <c r="A992" s="410"/>
      <c r="B992" s="410"/>
      <c r="C992" s="410"/>
      <c r="D992" s="410"/>
      <c r="E992" s="410"/>
      <c r="F992" s="410"/>
      <c r="G992" s="780"/>
      <c r="H992" s="781"/>
      <c r="I992" s="410"/>
    </row>
    <row r="993" ht="18.0" customHeight="1">
      <c r="A993" s="410"/>
      <c r="B993" s="410"/>
      <c r="C993" s="410"/>
      <c r="D993" s="410"/>
      <c r="E993" s="410"/>
      <c r="F993" s="410"/>
      <c r="G993" s="780"/>
      <c r="H993" s="781"/>
      <c r="I993" s="410"/>
    </row>
    <row r="994" ht="18.0" customHeight="1">
      <c r="A994" s="410"/>
      <c r="B994" s="410"/>
      <c r="C994" s="410"/>
      <c r="D994" s="410"/>
      <c r="E994" s="410"/>
      <c r="F994" s="410"/>
      <c r="G994" s="780"/>
      <c r="H994" s="781"/>
      <c r="I994" s="410"/>
    </row>
    <row r="995" ht="18.0" customHeight="1">
      <c r="A995" s="410"/>
      <c r="B995" s="410"/>
      <c r="C995" s="410"/>
      <c r="D995" s="410"/>
      <c r="E995" s="410"/>
      <c r="F995" s="410"/>
      <c r="G995" s="780"/>
      <c r="H995" s="781"/>
      <c r="I995" s="410"/>
    </row>
    <row r="996" ht="18.0" customHeight="1">
      <c r="A996" s="410"/>
      <c r="B996" s="410"/>
      <c r="C996" s="410"/>
      <c r="D996" s="410"/>
      <c r="E996" s="410"/>
      <c r="F996" s="410"/>
      <c r="G996" s="780"/>
      <c r="H996" s="781"/>
      <c r="I996" s="410"/>
    </row>
    <row r="997" ht="18.0" customHeight="1">
      <c r="A997" s="410"/>
      <c r="B997" s="410"/>
      <c r="C997" s="410"/>
      <c r="D997" s="410"/>
      <c r="E997" s="410"/>
      <c r="F997" s="410"/>
      <c r="G997" s="780"/>
      <c r="H997" s="781"/>
      <c r="I997" s="410"/>
    </row>
    <row r="998" ht="18.0" customHeight="1">
      <c r="A998" s="410"/>
      <c r="B998" s="410"/>
      <c r="C998" s="410"/>
      <c r="D998" s="410"/>
      <c r="E998" s="410"/>
      <c r="F998" s="410"/>
      <c r="G998" s="780"/>
      <c r="H998" s="781"/>
      <c r="I998" s="410"/>
    </row>
    <row r="999" ht="18.0" customHeight="1">
      <c r="A999" s="410"/>
      <c r="B999" s="410"/>
      <c r="C999" s="410"/>
      <c r="D999" s="410"/>
      <c r="E999" s="410"/>
      <c r="F999" s="410"/>
      <c r="G999" s="780"/>
      <c r="H999" s="781"/>
      <c r="I999" s="410"/>
    </row>
    <row r="1000" ht="18.0" customHeight="1">
      <c r="A1000" s="410"/>
      <c r="B1000" s="410"/>
      <c r="C1000" s="410"/>
      <c r="D1000" s="410"/>
      <c r="E1000" s="410"/>
      <c r="F1000" s="410"/>
      <c r="G1000" s="780"/>
      <c r="H1000" s="781"/>
      <c r="I1000" s="410"/>
    </row>
  </sheetData>
  <mergeCells count="5">
    <mergeCell ref="C6:H6"/>
    <mergeCell ref="C7:H7"/>
    <mergeCell ref="B9:H9"/>
    <mergeCell ref="B16:H16"/>
    <mergeCell ref="B23:H23"/>
  </mergeCells>
  <printOptions horizontalCentered="1"/>
  <pageMargins bottom="0.03937007874015748" footer="0.0" header="0.0" left="0.03937007874015748" right="0.03937007874015748" top="0.03937007874015748"/>
  <pageSetup fitToHeight="0" paperSize="9" orientation="portrait"/>
  <drawing r:id="rId1"/>
</worksheet>
</file>