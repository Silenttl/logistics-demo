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8a2b3f78045b3d1c/Documents/งาน/"/>
    </mc:Choice>
  </mc:AlternateContent>
  <bookViews>
    <workbookView xWindow="0" yWindow="1200" windowWidth="23040" windowHeight="9408" activeTab="2"/>
  </bookViews>
  <sheets>
    <sheet name="D.Path" sheetId="2" r:id="rId1"/>
    <sheet name="คำนวนต้นทุน" sheetId="3" r:id="rId2"/>
    <sheet name="Sheet1" sheetId="1" r:id="rId3"/>
  </sheets>
  <externalReferences>
    <externalReference r:id="rId4"/>
  </externalReferences>
  <definedNames>
    <definedName name="D.Dat">[1]!PRODUCT[#Data]</definedName>
    <definedName name="d.gua">[1]SET!$B$58:$X$71</definedName>
    <definedName name="D.inv">[1]!Table3[[อินวอย]:[ชนิด]]</definedName>
    <definedName name="DAT">[1]SET!$B$25:$B$41</definedName>
    <definedName name="DataTrip">[1]!Table843[#Data]</definedName>
    <definedName name="Driver.Car">[1]D.Car!$Q$4:$Q$112</definedName>
    <definedName name="INVC">'[1]Sche '!$I$7:$I$600</definedName>
    <definedName name="KKK">[1]!Table34[[#Headers],[ล้งKKK]]</definedName>
    <definedName name="Month.Th">[1]SET!$C$77:$C$89</definedName>
    <definedName name="NWP">[1]!Table45[#Headers]</definedName>
    <definedName name="Sche">[1]!Schedule[[คอลัมน์1]:[คอลัมน์3]]</definedName>
    <definedName name="SupST">[1]!sup.sche14[[นับ]:[สถานะ]]</definedName>
    <definedName name="TEL">[1]!All.car[[Driver.Car]:[เบอร์โทรคนขับ]]</definedName>
    <definedName name="Trailer.Car">[1]D.Car!$O$4:$O$112</definedName>
    <definedName name="YC">[1]!Table26[#Headers]</definedName>
    <definedName name="เจ้คิด">[1]!Table36[[#All],[ล้งเฮียเปีย]]</definedName>
    <definedName name="เจ้เดือน">[1]!Table44[[#Headers],[ล้งเจ้เดือน]]</definedName>
    <definedName name="เจ้นก">[1]!Table47[#Headers]</definedName>
    <definedName name="เจ้นา">[1]!Table25[#Headers]</definedName>
    <definedName name="เจ้ป่าน">[1]!Table21[[#Headers],[เจ้เจิด]]</definedName>
    <definedName name="เจ้หมวย">[1]!Table46[[#Headers],[ล้งเจ้หมวย]]</definedName>
    <definedName name="โจเหลาป่าน">[1]!Table24[#Headers]</definedName>
    <definedName name="ชีส">[1]!Schedule[[#All],[INVC]:[คอลัมน์5]]</definedName>
    <definedName name="เช็ค">[1]!Table3[[#All],[อินวอย]:[ลำดับที่]]</definedName>
    <definedName name="ด่าน">[1]SET!$B$3:$B$23</definedName>
    <definedName name="ต้นทาง">D.Path!$A$3:$A$81</definedName>
    <definedName name="ตันหยง">[1]!Table31[#Headers]</definedName>
    <definedName name="บริษัท">[1]!Table2[#Data]</definedName>
    <definedName name="บริษัทรับรถลาว">[1]SET!$B$93:$B$96</definedName>
    <definedName name="เบอร์">[1]D.Car!$A$4:$A$107</definedName>
    <definedName name="ลำดับ">[1]Sup.S.T!$A$5:$A$34</definedName>
    <definedName name="ลูกค้า">[1]CUS!$B$4:$B$35</definedName>
    <definedName name="สถานที่">D.Path!$A$3:$A$81</definedName>
    <definedName name="สถานะ">[1]SET!$G$77:$G$84</definedName>
    <definedName name="เส้นทางเปล่าลาว">D.Path!$Z$3:$Z$14</definedName>
    <definedName name="เส้นทางหนักลาว">D.Path!$S$3:$S$18</definedName>
    <definedName name="หงไทหยาง">[1]!Table33[#Headers]</definedName>
    <definedName name="อาจาง">[1]!Table23[[#Headers],[ซินตงหยวน]]</definedName>
    <definedName name="อาชง">[1]!Table29[[#Headers],[ล้งอาชง]]</definedName>
    <definedName name="อาปิง">[1]!Table24[#Headers]</definedName>
    <definedName name="อาผอง">[1]!Table24[#Headers]</definedName>
    <definedName name="อาฝาน">[1]!Table14[[#Headers],[ล้งอาฝาน]]</definedName>
    <definedName name="อาพาน">[1]!Table30[#Headers]</definedName>
    <definedName name="อาหมิง">[1]!Table6[#Headers]</definedName>
    <definedName name="อาหยก">[1]!Table22[#Headers]</definedName>
    <definedName name="อาหลู">[1]!Table36[[#Headers],[ล้งเฮียเปีย]]</definedName>
    <definedName name="อาหวังFF">[1]!Table27[#Headers]</definedName>
    <definedName name="อาหวังปลาคู่">[1]!Table32[[#Headers],[เจ้ทิพ]]</definedName>
    <definedName name="อาเหลียง">[1]!Table8[[#Headers],[เจ้ฝ้าย]]</definedName>
    <definedName name="อาเหวิน">[1]!Table16[[#Headers],[เจ้เจี๊ยบ]]</definedName>
    <definedName name="อินวอย">[1]D.inv!$D$3:$D$3000</definedName>
    <definedName name="เอกสาร">[1]!Schedule[INVV]</definedName>
    <definedName name="เฮียเอ็ม">[1]!Table35[[#Headers],[ล้งเฮียเอ็ม]]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9" i="1" l="1"/>
  <c r="R19" i="1"/>
  <c r="Q19" i="1"/>
  <c r="P19" i="1"/>
  <c r="O19" i="1"/>
  <c r="N19" i="1"/>
  <c r="M19" i="1"/>
  <c r="S16" i="1"/>
  <c r="R16" i="1"/>
  <c r="Q16" i="1"/>
  <c r="P16" i="1"/>
  <c r="O16" i="1"/>
  <c r="N16" i="1"/>
  <c r="M16" i="1"/>
  <c r="S15" i="1"/>
  <c r="R15" i="1"/>
  <c r="Q15" i="1"/>
  <c r="P15" i="1"/>
  <c r="O15" i="1"/>
  <c r="N15" i="1"/>
  <c r="M15" i="1"/>
  <c r="S14" i="1"/>
  <c r="R14" i="1"/>
  <c r="Q14" i="1"/>
  <c r="P14" i="1"/>
  <c r="O14" i="1"/>
  <c r="N14" i="1"/>
  <c r="M14" i="1"/>
  <c r="S10" i="1"/>
  <c r="R10" i="1"/>
  <c r="Q10" i="1"/>
  <c r="P10" i="1"/>
  <c r="O10" i="1"/>
  <c r="N10" i="1"/>
  <c r="M10" i="1"/>
  <c r="S9" i="1"/>
  <c r="R9" i="1"/>
  <c r="Q9" i="1"/>
  <c r="P9" i="1"/>
  <c r="O9" i="1"/>
  <c r="N9" i="1"/>
  <c r="M9" i="1"/>
  <c r="S8" i="1"/>
  <c r="R8" i="1"/>
  <c r="Q8" i="1"/>
  <c r="P8" i="1"/>
  <c r="O8" i="1"/>
  <c r="N8" i="1"/>
  <c r="M8" i="1"/>
  <c r="S17" i="1" l="1"/>
  <c r="S18" i="1" s="1"/>
  <c r="S21" i="1" s="1"/>
  <c r="R17" i="1"/>
  <c r="R18" i="1" s="1"/>
  <c r="R21" i="1" s="1"/>
  <c r="Q17" i="1"/>
  <c r="Q18" i="1" s="1"/>
  <c r="Q21" i="1" s="1"/>
  <c r="O17" i="1"/>
  <c r="O18" i="1" s="1"/>
  <c r="O21" i="1" s="1"/>
  <c r="P17" i="1"/>
  <c r="P18" i="1" s="1"/>
  <c r="P21" i="1" s="1"/>
  <c r="N17" i="1"/>
  <c r="N18" i="1" s="1"/>
  <c r="N21" i="1" s="1"/>
  <c r="M17" i="1"/>
  <c r="M18" i="1" s="1"/>
  <c r="M21" i="1" s="1"/>
  <c r="S3" i="3"/>
  <c r="S4" i="3"/>
  <c r="S5" i="3"/>
  <c r="S6" i="3"/>
  <c r="S7" i="3"/>
  <c r="R7" i="3"/>
  <c r="Q7" i="3"/>
  <c r="P7" i="3"/>
  <c r="R6" i="3"/>
  <c r="Q6" i="3"/>
  <c r="P6" i="3"/>
  <c r="R5" i="3"/>
  <c r="Q5" i="3"/>
  <c r="P5" i="3"/>
  <c r="R4" i="3"/>
  <c r="Q4" i="3"/>
  <c r="P4" i="3"/>
  <c r="R3" i="3"/>
  <c r="Q3" i="3"/>
  <c r="P3" i="3"/>
  <c r="M11" i="3"/>
  <c r="K9" i="3"/>
  <c r="J9" i="3"/>
  <c r="G8" i="3"/>
  <c r="G10" i="3" s="1"/>
  <c r="I9" i="3" s="1"/>
  <c r="M10" i="3" s="1"/>
  <c r="M26" i="3"/>
  <c r="L24" i="3"/>
  <c r="L23" i="3"/>
  <c r="L22" i="3"/>
  <c r="J24" i="3"/>
  <c r="J23" i="3"/>
  <c r="J22" i="3"/>
  <c r="I22" i="3"/>
  <c r="M25" i="3" s="1"/>
  <c r="G23" i="3"/>
  <c r="I24" i="3" s="1"/>
  <c r="K24" i="3" s="1"/>
  <c r="M24" i="3" s="1"/>
  <c r="G22" i="3"/>
  <c r="I23" i="3" s="1"/>
  <c r="K23" i="3" s="1"/>
  <c r="M23" i="3" s="1"/>
  <c r="G21" i="3"/>
  <c r="L16" i="3"/>
  <c r="L15" i="3"/>
  <c r="L9" i="3"/>
  <c r="D14" i="3"/>
  <c r="M18" i="3" s="1"/>
  <c r="J3" i="3"/>
  <c r="G2" i="3"/>
  <c r="G4" i="3" s="1"/>
  <c r="I3" i="3" s="1"/>
  <c r="M4" i="3" s="1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E21" i="1"/>
  <c r="F21" i="1"/>
  <c r="G21" i="1"/>
  <c r="H21" i="1"/>
  <c r="I21" i="1"/>
  <c r="J21" i="1"/>
  <c r="D21" i="1"/>
  <c r="E19" i="1"/>
  <c r="F19" i="1"/>
  <c r="G19" i="1"/>
  <c r="H19" i="1"/>
  <c r="I19" i="1"/>
  <c r="J19" i="1"/>
  <c r="D19" i="1"/>
  <c r="E18" i="1"/>
  <c r="F18" i="1"/>
  <c r="G18" i="1"/>
  <c r="H18" i="1"/>
  <c r="I18" i="1"/>
  <c r="J18" i="1"/>
  <c r="D18" i="1"/>
  <c r="E14" i="1"/>
  <c r="F14" i="1"/>
  <c r="G14" i="1"/>
  <c r="H14" i="1"/>
  <c r="I14" i="1"/>
  <c r="J14" i="1"/>
  <c r="E15" i="1"/>
  <c r="F15" i="1"/>
  <c r="G15" i="1"/>
  <c r="H15" i="1"/>
  <c r="I15" i="1"/>
  <c r="J15" i="1"/>
  <c r="J17" i="1" s="1"/>
  <c r="D15" i="1"/>
  <c r="D14" i="1"/>
  <c r="E17" i="1"/>
  <c r="F17" i="1"/>
  <c r="G17" i="1"/>
  <c r="H17" i="1"/>
  <c r="I17" i="1"/>
  <c r="E16" i="1"/>
  <c r="F16" i="1"/>
  <c r="G16" i="1"/>
  <c r="H16" i="1"/>
  <c r="I16" i="1"/>
  <c r="J16" i="1"/>
  <c r="D16" i="1"/>
  <c r="E10" i="1"/>
  <c r="F10" i="1"/>
  <c r="G10" i="1"/>
  <c r="H10" i="1"/>
  <c r="I10" i="1"/>
  <c r="J10" i="1"/>
  <c r="D10" i="1"/>
  <c r="E9" i="1"/>
  <c r="F9" i="1"/>
  <c r="G9" i="1"/>
  <c r="H9" i="1"/>
  <c r="I9" i="1"/>
  <c r="J9" i="1"/>
  <c r="D9" i="1"/>
  <c r="E8" i="1"/>
  <c r="F8" i="1"/>
  <c r="G8" i="1"/>
  <c r="H8" i="1"/>
  <c r="I8" i="1"/>
  <c r="J8" i="1"/>
  <c r="D8" i="1"/>
  <c r="G17" i="3" l="1"/>
  <c r="I16" i="3" s="1"/>
  <c r="K16" i="3" s="1"/>
  <c r="M16" i="3" s="1"/>
  <c r="J16" i="3"/>
  <c r="K22" i="3"/>
  <c r="M22" i="3" s="1"/>
  <c r="M27" i="3" s="1"/>
  <c r="G14" i="3"/>
  <c r="G16" i="3" s="1"/>
  <c r="I15" i="3" s="1"/>
  <c r="M17" i="3" s="1"/>
  <c r="J15" i="3"/>
  <c r="K3" i="3"/>
  <c r="M3" i="3" s="1"/>
  <c r="M6" i="3" s="1"/>
  <c r="M9" i="3"/>
  <c r="M12" i="3" s="1"/>
  <c r="D17" i="1"/>
  <c r="K15" i="3" l="1"/>
  <c r="M15" i="3" s="1"/>
  <c r="M19" i="3" s="1"/>
</calcChain>
</file>

<file path=xl/sharedStrings.xml><?xml version="1.0" encoding="utf-8"?>
<sst xmlns="http://schemas.openxmlformats.org/spreadsheetml/2006/main" count="715" uniqueCount="455">
  <si>
    <t>จันทบุรี</t>
  </si>
  <si>
    <t>สอยดาว</t>
  </si>
  <si>
    <t>น้ำมันที่ใช้</t>
  </si>
  <si>
    <t>ค่าสึก</t>
  </si>
  <si>
    <t>นครศรี</t>
  </si>
  <si>
    <t>หลังสวน</t>
  </si>
  <si>
    <t>จอมทอง</t>
  </si>
  <si>
    <t>เวียงหนองล่อง</t>
  </si>
  <si>
    <t>จากมุก</t>
  </si>
  <si>
    <t>ถึงนคร</t>
  </si>
  <si>
    <t>ปั่นไฟ</t>
  </si>
  <si>
    <t>แกลง</t>
  </si>
  <si>
    <t>น้ำมันรถเปล่า</t>
  </si>
  <si>
    <t>น้ำมันรถหนัก</t>
  </si>
  <si>
    <t>น้ำมันปั่นไฟ</t>
  </si>
  <si>
    <t>ไปจอลอ</t>
  </si>
  <si>
    <t>กลับมุก</t>
  </si>
  <si>
    <t>น้ำมันไปจอลอ</t>
  </si>
  <si>
    <t>น้ำมันกลับมุก</t>
  </si>
  <si>
    <t>น้ำมัน24บาท</t>
  </si>
  <si>
    <t>ค่าเที่ยว</t>
  </si>
  <si>
    <t>รวมต้นทุน</t>
  </si>
  <si>
    <t>เส้นทาง</t>
  </si>
  <si>
    <t>ระยะทาง</t>
  </si>
  <si>
    <t>ร.เปล่า</t>
  </si>
  <si>
    <t>ร.ขนของ</t>
  </si>
  <si>
    <t>ร.หนัก</t>
  </si>
  <si>
    <t>เวลาปั่นไฟ</t>
  </si>
  <si>
    <t>ร.ปั่นไฟ</t>
  </si>
  <si>
    <t>เส้นทางหนักลาว</t>
  </si>
  <si>
    <t>เรท</t>
  </si>
  <si>
    <t>ช.ปั่นไฟ</t>
  </si>
  <si>
    <t>เส้นทางเปล่าลาว</t>
  </si>
  <si>
    <t>เรทข</t>
  </si>
  <si>
    <t>เขาดิน</t>
  </si>
  <si>
    <t>ขึ้นตะกร้าชลบุรี-ลานสกา</t>
  </si>
  <si>
    <t>ขลุง-ตลาดทวดทอง</t>
  </si>
  <si>
    <t>กังแอน-นครพนม</t>
  </si>
  <si>
    <t>จอลอ-นครพนม</t>
  </si>
  <si>
    <t>เขาหินซ้อน-ลานสกา</t>
  </si>
  <si>
    <t>กังแอน-แหลมฉบัง</t>
  </si>
  <si>
    <t>เชียงของ-บ่อเต็น</t>
  </si>
  <si>
    <t>จอลอ-มุกดาหาร</t>
  </si>
  <si>
    <t>ขลุง</t>
  </si>
  <si>
    <t>คมบาง-ลานสกา</t>
  </si>
  <si>
    <t>แกลง-เชียงของ</t>
  </si>
  <si>
    <t>ท่าแขก-ด่านจอลอ</t>
  </si>
  <si>
    <t>ท่าแขก-นครพนม</t>
  </si>
  <si>
    <t>เขาชะเมา</t>
  </si>
  <si>
    <t>จันทบุรี-ตลาดทวดทอง</t>
  </si>
  <si>
    <t>แกลง-นครพนม</t>
  </si>
  <si>
    <t>ท่าแขก-ลังคัง</t>
  </si>
  <si>
    <t>ท่าแขก-มุกดาหาร</t>
  </si>
  <si>
    <t>เขาปีบ</t>
  </si>
  <si>
    <t>จันทบุรี-ลานสกา</t>
  </si>
  <si>
    <t>แกลง-มุกดาหาร</t>
  </si>
  <si>
    <t>นครพนม-จอลอ</t>
  </si>
  <si>
    <t>บ่อเต็น-เชียงของ</t>
  </si>
  <si>
    <t>เขาสมิง</t>
  </si>
  <si>
    <t>จันทบุรี-หลังสวน</t>
  </si>
  <si>
    <t>ขลุง-นครพนม</t>
  </si>
  <si>
    <t>นครพนม-ด่านจอลอ</t>
  </si>
  <si>
    <t>มุกดาหาร-จอลอ</t>
  </si>
  <si>
    <t>คมบาง</t>
  </si>
  <si>
    <t>เชียงของ-แกลง</t>
  </si>
  <si>
    <t>ขลุง-มุกดาหาร</t>
  </si>
  <si>
    <t>นครพนม-ท่าแขก</t>
  </si>
  <si>
    <t>มุกดาหาร-ลาวบาว</t>
  </si>
  <si>
    <t>คิชกุฏ</t>
  </si>
  <si>
    <t>เชียงของ-ขลุง</t>
  </si>
  <si>
    <t>เขาชะเมา-นครพนม</t>
  </si>
  <si>
    <t>ลังคัง-ท่าแขก</t>
  </si>
  <si>
    <t>เชียงของ-เขาดิน</t>
  </si>
  <si>
    <t>เขาชะเมา-มุกดาหาร</t>
  </si>
  <si>
    <t>ลาวบาว-มุกดาหาร</t>
  </si>
  <si>
    <t>เชียงของ-เขาสมิง</t>
  </si>
  <si>
    <t>เขาดิน-เชียงของ</t>
  </si>
  <si>
    <t>มุกดาหาร-ท่าแขก</t>
  </si>
  <si>
    <t>สะหวัน-มุกดาหาร</t>
  </si>
  <si>
    <t>จางวาง</t>
  </si>
  <si>
    <t>เชียงของ-จอมทอง</t>
  </si>
  <si>
    <t>เขาดิน-มุกดาหาร</t>
  </si>
  <si>
    <t>อื่น-อื่น</t>
  </si>
  <si>
    <t>ฉวาง</t>
  </si>
  <si>
    <t>เชียงของ-จันทบุรี</t>
  </si>
  <si>
    <t>เขาปีบ-มุกดาหาร</t>
  </si>
  <si>
    <t>มุกดาหาร-สะหวัน</t>
  </si>
  <si>
    <t>นำเปา-นครพนม</t>
  </si>
  <si>
    <t>เชียงของ</t>
  </si>
  <si>
    <t>เชียงของ-ตลาดไท</t>
  </si>
  <si>
    <t>เขาสมิง-เชียงของ</t>
  </si>
  <si>
    <t>เชียงคำ</t>
  </si>
  <si>
    <t>เชียงของ-ปาดังเบซาร์</t>
  </si>
  <si>
    <t>เขาสมิง-มุกดาหาร</t>
  </si>
  <si>
    <t>เชียงแสน</t>
  </si>
  <si>
    <t>เชียงของ-พลิ้ว</t>
  </si>
  <si>
    <t>คมบาง-เชียงของ</t>
  </si>
  <si>
    <t>เอาตู้-สะหวัน</t>
  </si>
  <si>
    <t>เชียงของ-มะขาม</t>
  </si>
  <si>
    <t>คมบาง-นครพนม</t>
  </si>
  <si>
    <t>นครพนม-นำเปา</t>
  </si>
  <si>
    <t>ดอยหล่อ</t>
  </si>
  <si>
    <t>เชียงของ-แยกเบญจมฯ</t>
  </si>
  <si>
    <t>คมบาง-มุกดาหาร</t>
  </si>
  <si>
    <t>ด่านจอลอ</t>
  </si>
  <si>
    <t>เชียงของ-สอยดาว</t>
  </si>
  <si>
    <t>คิชกุฎ-นครพนม</t>
  </si>
  <si>
    <t>ตลาดทวดทอง</t>
  </si>
  <si>
    <t>เชียงของ-หลังสวน</t>
  </si>
  <si>
    <t>จอมทอง-เชียงของ</t>
  </si>
  <si>
    <t>ตลาดไท</t>
  </si>
  <si>
    <t>เชียงแสน-แหลมฉบัง</t>
  </si>
  <si>
    <t>จอมทอง-ท่าแขก</t>
  </si>
  <si>
    <t>ตลาดสี่มุมเมือง</t>
  </si>
  <si>
    <t>ตลาดไท-แกลง</t>
  </si>
  <si>
    <t>จอมทอง-นครพนม</t>
  </si>
  <si>
    <t>ท่าแขก</t>
  </si>
  <si>
    <t>ตลาดไท-ขลุง</t>
  </si>
  <si>
    <t>จอมทอง-มุกดาหาร</t>
  </si>
  <si>
    <t>ร่อนพิบูลย์</t>
  </si>
  <si>
    <t>ตลาดไท-เขาชะเมา</t>
  </si>
  <si>
    <t>จอมทอง-แหลมฉบัง</t>
  </si>
  <si>
    <t>เทิง</t>
  </si>
  <si>
    <t>ตลาดไท-เขาสมิง</t>
  </si>
  <si>
    <t>จันทบุรี-เชียงของ</t>
  </si>
  <si>
    <t>นครปฐม</t>
  </si>
  <si>
    <t>ตลาดไท-จันทบุรี</t>
  </si>
  <si>
    <t>จันทบุรี-นครพนม</t>
  </si>
  <si>
    <t>นครพนม</t>
  </si>
  <si>
    <t>ตลาดไท-ฉวาง</t>
  </si>
  <si>
    <t>จันทบุรี-มุกดาหาร</t>
  </si>
  <si>
    <t>นิมิตรใหม่</t>
  </si>
  <si>
    <t>ตลาดไท-ตลาดทวดทอง</t>
  </si>
  <si>
    <t>จันทบุรี-แหลมฉบัง</t>
  </si>
  <si>
    <t>บางกอกเจน</t>
  </si>
  <si>
    <t>ตลาดไท-ประจวบฯ</t>
  </si>
  <si>
    <t>จางวาง-นครพนม</t>
  </si>
  <si>
    <t>บ้านธิ</t>
  </si>
  <si>
    <t>ตลาดไท-พรหมคีรี</t>
  </si>
  <si>
    <t>จางวาง-มุกดาหาร</t>
  </si>
  <si>
    <t>บ้านโฮ่ง</t>
  </si>
  <si>
    <t>ตลาดไท-มะขาม</t>
  </si>
  <si>
    <t>ฉวาง-มุกดาหาร</t>
  </si>
  <si>
    <t>ปง</t>
  </si>
  <si>
    <t>ตลาดไท-มุกดาหาร</t>
  </si>
  <si>
    <t>ประจวบฯ</t>
  </si>
  <si>
    <t>ตลาดไท-ร่อนพิบูลย์</t>
  </si>
  <si>
    <t>เชียงของ-ตลาดสี่มุมเมือง</t>
  </si>
  <si>
    <t>ป่าซาง</t>
  </si>
  <si>
    <t>ตลาดไท-ลานสกา</t>
  </si>
  <si>
    <t>เชียงคำ-ท่าแขก</t>
  </si>
  <si>
    <t>ปาดังเบซาร์</t>
  </si>
  <si>
    <t>ตลาดไท-สามพราน</t>
  </si>
  <si>
    <t>เชียงคำ-สะหวัน</t>
  </si>
  <si>
    <t>ป่าแดด</t>
  </si>
  <si>
    <t>ตลาดไท-สาย4</t>
  </si>
  <si>
    <t>เชียงแสน-ท่าแขก</t>
  </si>
  <si>
    <t>โป่งน้ำร้อน</t>
  </si>
  <si>
    <t>ตลาดไท-หลังสวน</t>
  </si>
  <si>
    <t>ดอยหล่อ-ท่าแขก</t>
  </si>
  <si>
    <t>พรหมคีรี</t>
  </si>
  <si>
    <t>ตลาดไท-แหลมสิงห์</t>
  </si>
  <si>
    <t>ดอยหล่อ-นครพนม</t>
  </si>
  <si>
    <t>พลิ้ว</t>
  </si>
  <si>
    <t>ตลาดสี่มุมเมือง-พรหมคีรี</t>
  </si>
  <si>
    <t>ตลาดทวดทอง-นครพนม</t>
  </si>
  <si>
    <t>มะขาม</t>
  </si>
  <si>
    <t>ตลาดสี่มุมเมือง-วิริยะกิจ</t>
  </si>
  <si>
    <t>ตลาดสี่มุมเมือง-หลังสวน</t>
  </si>
  <si>
    <t>ตลาดทวดทอง-มุกดาหาร</t>
  </si>
  <si>
    <t>มุกดาหาร</t>
  </si>
  <si>
    <t>ท่าแขก-จอมทอง</t>
  </si>
  <si>
    <t>ตลาดไท-เชียงของ</t>
  </si>
  <si>
    <t>แม่วาง</t>
  </si>
  <si>
    <t>ท่าแขก-เชียงคำ</t>
  </si>
  <si>
    <t>ตลาดไท-นครพนม</t>
  </si>
  <si>
    <t>ลานสกา</t>
  </si>
  <si>
    <t>ท่าแขก-ดอยหล่อ</t>
  </si>
  <si>
    <t>ตลาดลุงช้อย-นครพนม</t>
  </si>
  <si>
    <t>ลำพูน</t>
  </si>
  <si>
    <t>ท่าแขก-เทิง</t>
  </si>
  <si>
    <t>ทุ่งตะโก-นครพนม</t>
  </si>
  <si>
    <t>ลี้</t>
  </si>
  <si>
    <t>ท่าแขก-บ้านธิ</t>
  </si>
  <si>
    <t>เทิง-ท่าแขก</t>
  </si>
  <si>
    <t>วังจันทร์</t>
  </si>
  <si>
    <t>ท่าแขก-บ้านโฮ่ง</t>
  </si>
  <si>
    <t>นครปฐม-นครพนม</t>
  </si>
  <si>
    <t>วังน้อย</t>
  </si>
  <si>
    <t>ท่าแขก-ป่าซาง</t>
  </si>
  <si>
    <t>นครปฐม-มุกดาหาร</t>
  </si>
  <si>
    <t>วิริยะกิจ</t>
  </si>
  <si>
    <t>ท่าแขก-ป่าแดด</t>
  </si>
  <si>
    <t>นครพนม-ตลาดไท</t>
  </si>
  <si>
    <t>นครพนม-มุกดาหาร</t>
  </si>
  <si>
    <t>เวียงอาเฉิน</t>
  </si>
  <si>
    <t>ท่าแขก-แม่วาง</t>
  </si>
  <si>
    <t>นายายอาม-นครพนม</t>
  </si>
  <si>
    <t>สหศิลป์</t>
  </si>
  <si>
    <t>ท่าแขก-ลี้</t>
  </si>
  <si>
    <t>บ้านธิ-ท่าแขก</t>
  </si>
  <si>
    <t>ท่าแขก-สันป่าตอง</t>
  </si>
  <si>
    <t>บ้านโฮ่ง-ท่าแขก</t>
  </si>
  <si>
    <t>สะเดา</t>
  </si>
  <si>
    <t>ท่าแขก-สารภี</t>
  </si>
  <si>
    <t>บ้านโฮ่ง-นครพนม</t>
  </si>
  <si>
    <t>สะหวัน</t>
  </si>
  <si>
    <t>ท่าแขก-แหลมฉบัง</t>
  </si>
  <si>
    <t>ปง-ท่าแขก</t>
  </si>
  <si>
    <t>สันป่าตอง</t>
  </si>
  <si>
    <t>ท่าแขก-ฮอด</t>
  </si>
  <si>
    <t>ประจวบฯ-นครพนม</t>
  </si>
  <si>
    <t>สามพราน</t>
  </si>
  <si>
    <t>นครพนม-แกลง</t>
  </si>
  <si>
    <t>ประจวบฯ-มุกดาหาร</t>
  </si>
  <si>
    <t>สาย4</t>
  </si>
  <si>
    <t>นครพนม-ตลาดทวดทอง</t>
  </si>
  <si>
    <t>ปากช่อง-มุกดาหาร</t>
  </si>
  <si>
    <t>สารภี</t>
  </si>
  <si>
    <t>นครพนม-โป่งน้ำร้อน</t>
  </si>
  <si>
    <t>ป่าซาง-ท่าแขก</t>
  </si>
  <si>
    <t>สุราษฎร์ธานี</t>
  </si>
  <si>
    <t>นครพนม-วิริยะกิจ</t>
  </si>
  <si>
    <t>ป่าซาง-นครพนม</t>
  </si>
  <si>
    <t>สุวรรณภูมิ</t>
  </si>
  <si>
    <t>นครพนม-สอยดาว</t>
  </si>
  <si>
    <t>ปาดังเบซาร์-นครพนม</t>
  </si>
  <si>
    <t>นิมิตรใหม่-ฉวาง</t>
  </si>
  <si>
    <t>ป่าแดด-ท่าแขก</t>
  </si>
  <si>
    <t>แหลมฉบัง</t>
  </si>
  <si>
    <t>นิมิตรใหม่-ตลาดทวดทอง</t>
  </si>
  <si>
    <t>ป่าแดด-มุกดาหาร</t>
  </si>
  <si>
    <t>แหลมสิงห์</t>
  </si>
  <si>
    <t>นิมิตรใหม่-พรหมคีรี</t>
  </si>
  <si>
    <t>โป่งน้ำร้อน-นครพนม</t>
  </si>
  <si>
    <t>อื่นๆ</t>
  </si>
  <si>
    <t>นิมิตรใหม่-ร่อนพิบูลย์</t>
  </si>
  <si>
    <t>โป่งน้ำร้อน-มุกดาหาร</t>
  </si>
  <si>
    <t>ฮอด</t>
  </si>
  <si>
    <t>นิมิตรใหม่-ลานสกา</t>
  </si>
  <si>
    <t>พรหมคีรี-นครพนม</t>
  </si>
  <si>
    <t>แยกเบญจมฯ</t>
  </si>
  <si>
    <t>นิมิตรใหม่-หลังสวน</t>
  </si>
  <si>
    <t>พรหมคีรี-มุกดาหาร</t>
  </si>
  <si>
    <t>เขาหินซ้อน</t>
  </si>
  <si>
    <t>บางพลี-สามพราน</t>
  </si>
  <si>
    <t>พลิ้ว-นครพนม</t>
  </si>
  <si>
    <t>พระราม2</t>
  </si>
  <si>
    <t>โป่งน้ำร้อน-ตลาดทวดทอง</t>
  </si>
  <si>
    <t>พลิ้ว-มุกดาหาร</t>
  </si>
  <si>
    <t>ทุ่งตะโก</t>
  </si>
  <si>
    <t>โป่งน้ำร้อน-พรหมคีรี</t>
  </si>
  <si>
    <t>โพธิ์ประทับช้าง-แหลมฉบัง</t>
  </si>
  <si>
    <t>โพธิ์ประทับช้าง</t>
  </si>
  <si>
    <t>โป่งน้ำร้อน-ร่อนพิบูลย์</t>
  </si>
  <si>
    <t>มะขาม-เชียงของ</t>
  </si>
  <si>
    <t>ปากช่อง</t>
  </si>
  <si>
    <t>โป่งน้ำร้อน-ลานสกา</t>
  </si>
  <si>
    <t>มะขาม-นครพนม</t>
  </si>
  <si>
    <t>ขึ้นตะกร้าชลบุรี</t>
  </si>
  <si>
    <t>โป่งน้ำร้อน-วิริยะกิจ</t>
  </si>
  <si>
    <t>มะขาม-มุกดาหาร</t>
  </si>
  <si>
    <t>ตลาดลุงช้อย</t>
  </si>
  <si>
    <t>โป่งน้ำร้อน-สาย4</t>
  </si>
  <si>
    <t>มุกดาหาร-ตลาดไท</t>
  </si>
  <si>
    <t>นายายอาม</t>
  </si>
  <si>
    <t>โป่งน้ำร้อน-หลังสวน</t>
  </si>
  <si>
    <t>สามแยกชลประทาน</t>
  </si>
  <si>
    <t>มะขาม-ร่อนพิบูลย์</t>
  </si>
  <si>
    <t>มุกดาหาร-นครพนม</t>
  </si>
  <si>
    <t>สมุทรสาคร</t>
  </si>
  <si>
    <t>มะขาม-วิริยะกิจ</t>
  </si>
  <si>
    <t>แม่วาง-ท่าแขก</t>
  </si>
  <si>
    <t>สิชล</t>
  </si>
  <si>
    <t>มะขาม-แหลมฉบัง</t>
  </si>
  <si>
    <t>แยกเบญจมฯ-เชียงของ</t>
  </si>
  <si>
    <t>กังแอน</t>
  </si>
  <si>
    <t>มุกดาหาร-แกลง</t>
  </si>
  <si>
    <t>แยกแสลง-นครพนม</t>
  </si>
  <si>
    <t>สวี</t>
  </si>
  <si>
    <t>มุกดาหาร-ขลุง</t>
  </si>
  <si>
    <t>ร่อนพิบูลย์-นครพนม</t>
  </si>
  <si>
    <t>มุกดาหาร-ขึ้นตะกร้าชลบุรี</t>
  </si>
  <si>
    <t>ลานสกา-นครพนม</t>
  </si>
  <si>
    <t>มุกดาหาร-เขาชะเมา</t>
  </si>
  <si>
    <t>ลานสกา-มุกดาหาร</t>
  </si>
  <si>
    <t>มุกดาหาร-เขาดิน</t>
  </si>
  <si>
    <t>ลานสกา-แหลมฉบัง</t>
  </si>
  <si>
    <t>มุกดาหาร-เขาปีบ</t>
  </si>
  <si>
    <t>ลำพูน-นครพนม</t>
  </si>
  <si>
    <t>มุกดาหาร-เขาสมิง</t>
  </si>
  <si>
    <t>ลี้-ท่าแขก</t>
  </si>
  <si>
    <t>มุกดาหาร-เขาหินซ้อน</t>
  </si>
  <si>
    <t>วังจันทร์-มุกดาหาร</t>
  </si>
  <si>
    <t>มุกดาหาร-คมบาง</t>
  </si>
  <si>
    <t>วังน้อย-นครพนม</t>
  </si>
  <si>
    <t>มุกดาหาร-คิชกุฎ</t>
  </si>
  <si>
    <t>วังน้อย-มุกดาหาร</t>
  </si>
  <si>
    <t>มุกดาหาร-จอมทอง</t>
  </si>
  <si>
    <t>เวียงหนองล่อง-นครพนม</t>
  </si>
  <si>
    <t>มุกดาหาร-จันทบุรี</t>
  </si>
  <si>
    <t>เวียงหนองล่อง-มุกดาหาร</t>
  </si>
  <si>
    <t>มุกดาหาร-จางวาง</t>
  </si>
  <si>
    <t>เวียงอาเฉิน-นครพนม</t>
  </si>
  <si>
    <t>มุกดาหาร-ฉวาง</t>
  </si>
  <si>
    <t>สวี-นครพนม</t>
  </si>
  <si>
    <t>มุกดาหาร-ดอยหล่อ</t>
  </si>
  <si>
    <t>สอยดาว-เชียงของ</t>
  </si>
  <si>
    <t>มุกดาหาร-ตลาดทวดทอง</t>
  </si>
  <si>
    <t>สอยดาว-นครพนม</t>
  </si>
  <si>
    <t>สอยดาว-มุกดาหาร</t>
  </si>
  <si>
    <t>มุกดาหาร-ตลาดลุงช้อย</t>
  </si>
  <si>
    <t>สอยดาว-แหลมฉบัง</t>
  </si>
  <si>
    <t>มุกดาหาร-ทุ่งตะโก</t>
  </si>
  <si>
    <t>สะเดา-นครพนม</t>
  </si>
  <si>
    <t>มุกดาหาร-นครปฐม</t>
  </si>
  <si>
    <t>สันป่าตอง-ท่าแขก</t>
  </si>
  <si>
    <t>สารภี-ท่าแขก</t>
  </si>
  <si>
    <t>มุกดาหาร-นายายอาม</t>
  </si>
  <si>
    <t>มุกดาหาร-นิมิตรใหม่</t>
  </si>
  <si>
    <t>สิชล-นครพนม</t>
  </si>
  <si>
    <t>มุกดาหาร-บางกอกเจน</t>
  </si>
  <si>
    <t>สุวรรณภูมิ-นครพนม</t>
  </si>
  <si>
    <t>มุกดาหาร-บ้านโฮ่ง</t>
  </si>
  <si>
    <t>หลังสวน-เชียงของ</t>
  </si>
  <si>
    <t>มุกดาหาร-ประจวบฯ</t>
  </si>
  <si>
    <t>หลังสวน-ตลาดไท</t>
  </si>
  <si>
    <t>มุกดาหาร-ป่าซาง</t>
  </si>
  <si>
    <t>หลังสวน-นครพนม</t>
  </si>
  <si>
    <t>มุกดาหาร-ปาดังเบซาร์</t>
  </si>
  <si>
    <t>หลังสวน-พระราม2</t>
  </si>
  <si>
    <t>มุกดาหาร-ป่าแดด</t>
  </si>
  <si>
    <t>หลังสวน-มุกดาหาร</t>
  </si>
  <si>
    <t>มุกดาหาร-โป่งน้ำร้อน</t>
  </si>
  <si>
    <t>หลังสวน-สมุทรสาคร</t>
  </si>
  <si>
    <t>มุกดาหาร-พรหมคีรี</t>
  </si>
  <si>
    <t>หลังสวน-แหลมฉบัง</t>
  </si>
  <si>
    <t>มุกดาหาร-พลิ้ว</t>
  </si>
  <si>
    <t>แหลมฉบัง-เชียงแสน</t>
  </si>
  <si>
    <t>มุกดาหาร-มะขาม</t>
  </si>
  <si>
    <t>แหลมฉบัง-นครพนม</t>
  </si>
  <si>
    <t>มุกดาหาร-แม่วัง</t>
  </si>
  <si>
    <t>แหลมฉบัง-มะขาม</t>
  </si>
  <si>
    <t>มุกดาหาร-แยกเบญจมฯ</t>
  </si>
  <si>
    <t>แหลมฉบัง-มุกดาหาร</t>
  </si>
  <si>
    <t>มุกดาหาร-แยกแสลง</t>
  </si>
  <si>
    <t>แหลมสิงห์-นครพนม</t>
  </si>
  <si>
    <t>มุกดาหาร-ร่อนพิบูลย์</t>
  </si>
  <si>
    <t>แหลมสิงห์-มุกดาหาร</t>
  </si>
  <si>
    <t>มุกดาหาร-ลานสกา</t>
  </si>
  <si>
    <t>อื่นๆ-มุกดาหาร</t>
  </si>
  <si>
    <t>มุกดาหาร-ลำพูน</t>
  </si>
  <si>
    <t>อื่นๆ-อื่นๆ</t>
  </si>
  <si>
    <t>มุกดาหาร-วังจันทร์</t>
  </si>
  <si>
    <t>ฮอด-ท่าแขก</t>
  </si>
  <si>
    <t>มุกดาหาร-วังน้อย</t>
  </si>
  <si>
    <t>ฮอด-นครพนม</t>
  </si>
  <si>
    <t>มุกดาหาร-วิริยะกิจ</t>
  </si>
  <si>
    <t>ฮอด-มุกดาหาร</t>
  </si>
  <si>
    <t>มุกดาหาร-เวียงหนองล่อง</t>
  </si>
  <si>
    <t>มุกดาหาร-เวียงอาเฉิน</t>
  </si>
  <si>
    <t>มุกดาหาร-สหศิลป์</t>
  </si>
  <si>
    <t>มุกดาหาร-สอยดาว</t>
  </si>
  <si>
    <t>มุกดาหาร-สะเดา</t>
  </si>
  <si>
    <t>มุกดาหาร-สันป่าตอง</t>
  </si>
  <si>
    <t>มุกดาหาร-สามพราน</t>
  </si>
  <si>
    <t>มุกดาหาร-สาย4</t>
  </si>
  <si>
    <t>มุกดาหาร-สารภี</t>
  </si>
  <si>
    <t>มุกดาหาร-สุวรรณภูมิ</t>
  </si>
  <si>
    <t>มุกดาหาร-หลังสวน</t>
  </si>
  <si>
    <t>มุกดาหาร-แหลมฉบัง</t>
  </si>
  <si>
    <t>มุกดาหาร-แหลมสิงห์</t>
  </si>
  <si>
    <t>มุกดาหาร-อื่นๆ</t>
  </si>
  <si>
    <t>มุกดาหาร-ฮอด</t>
  </si>
  <si>
    <t>วิริยะกิจ-ฉวาง</t>
  </si>
  <si>
    <t>วิริยะกิจ-ตลาดทวดทอง</t>
  </si>
  <si>
    <t>วิริยะกิจ-ตลาดลุงช้อย</t>
  </si>
  <si>
    <t>วิริยะกิจ-พรหมคีรี</t>
  </si>
  <si>
    <t>วิริยะกิจ-ร่อนพิบูลย์</t>
  </si>
  <si>
    <t>วิริยะกิจ-ลานสกา</t>
  </si>
  <si>
    <t>วิริยะกิจ-หลังสวน</t>
  </si>
  <si>
    <t>สหศิลป์-ตลาดทวดทอง</t>
  </si>
  <si>
    <t>สหศิลป์-พรหมคีรี</t>
  </si>
  <si>
    <t>สหศิลป์-ร่อนพิบูลย์</t>
  </si>
  <si>
    <t>สหศิลป์-ลานสกา</t>
  </si>
  <si>
    <t>สหศิลป์-สุราษฎร์ธานี</t>
  </si>
  <si>
    <t>สหศิลป์-หลังสวน</t>
  </si>
  <si>
    <t>สะหวัน-เชียงคำ</t>
  </si>
  <si>
    <t>สามพราน-ตลาดทวดทอง</t>
  </si>
  <si>
    <t>สามพราน-ทุ่งตะโก</t>
  </si>
  <si>
    <t>สามพราน-พรหมคีรี</t>
  </si>
  <si>
    <t>สามพราน-แยกเบญจมฯ</t>
  </si>
  <si>
    <t>สามพราน-ร่อนพิบูลย์</t>
  </si>
  <si>
    <t>สามพราน-ลานสกา</t>
  </si>
  <si>
    <t>สามพราน-หลังสวน</t>
  </si>
  <si>
    <t>สามพราน-สามแยกชลประทาน</t>
  </si>
  <si>
    <t>สาย4-ฉวาง</t>
  </si>
  <si>
    <t>สามพราน-สิชล</t>
  </si>
  <si>
    <t>สาย4-ลานสกา</t>
  </si>
  <si>
    <t>แหลมฉบัง-แกลง</t>
  </si>
  <si>
    <t>แหลมฉบัง-จอมทอง</t>
  </si>
  <si>
    <t>แหลมฉบัง-ฉวาง</t>
  </si>
  <si>
    <t>แหลมฉบัง-บางพลี</t>
  </si>
  <si>
    <t>แหลมฉบัง-ปากช่อง</t>
  </si>
  <si>
    <t>แหลมฉบัง-โพธิ์ประทับช้าง</t>
  </si>
  <si>
    <t>แหลมฉบัง-ลานสกา</t>
  </si>
  <si>
    <t>แหลมฉบัง-วิริยะกิจ</t>
  </si>
  <si>
    <t>แหลมฉบัง-สารภี</t>
  </si>
  <si>
    <t>แหลมฉบัง-หลังสวน</t>
  </si>
  <si>
    <t>แหลมสิงห์-ตลาดทวดทอง</t>
  </si>
  <si>
    <t>แหลมสิงห์-ลานสกา</t>
  </si>
  <si>
    <t>สมุทรสาคร-หลังสวน</t>
  </si>
  <si>
    <t>แหลมสิงห์-พรหมคีรี</t>
  </si>
  <si>
    <t>มุกดาหาร-สิชล</t>
  </si>
  <si>
    <t>แหลมฉบัง-กังแอน</t>
  </si>
  <si>
    <t>แหลมฉบัง-จันทบุรี</t>
  </si>
  <si>
    <t>แหลมฉบัง-สอยดาว</t>
  </si>
  <si>
    <t>ตลาดไท-วิริยะกิจ</t>
  </si>
  <si>
    <t>มุกดาหาร-กังแอน</t>
  </si>
  <si>
    <t>มุกดาหาร-สวี</t>
  </si>
  <si>
    <t>เส้นทางรถเปล่า</t>
  </si>
  <si>
    <t>สถานที่</t>
  </si>
  <si>
    <t>-</t>
  </si>
  <si>
    <t>รถเปล่าเพิ่ม</t>
  </si>
  <si>
    <t>รวมระยะรถเปล่า</t>
  </si>
  <si>
    <t>น้ำมันที่ได้</t>
  </si>
  <si>
    <t>เส้นทางรถขนของ</t>
  </si>
  <si>
    <t>ราคาน้ำมัน</t>
  </si>
  <si>
    <t>รวมเงิน</t>
  </si>
  <si>
    <t>รวม</t>
  </si>
  <si>
    <t>เส้นทางรถหนัก</t>
  </si>
  <si>
    <t>รถขนของเพิ่ม</t>
  </si>
  <si>
    <t>รถหนักเพิ่ม</t>
  </si>
  <si>
    <t>รวมระยะรถหนัก</t>
  </si>
  <si>
    <t>รวมระยะรถขนของ</t>
  </si>
  <si>
    <t>รถเปล่ากลับไทย</t>
  </si>
  <si>
    <t>รถหนักไปลาว</t>
  </si>
  <si>
    <t>ชั่วโมงปั่นไฟ</t>
  </si>
  <si>
    <t>ค่าน้ำมัน</t>
  </si>
  <si>
    <t>รถเปล่า</t>
  </si>
  <si>
    <t>รถขนของ</t>
  </si>
  <si>
    <t>รถหนัก</t>
  </si>
  <si>
    <t>ในลาว</t>
  </si>
  <si>
    <t>ต้นทุนเอกสารโดยประมาณ</t>
  </si>
  <si>
    <t>โหยอี้กวาน</t>
  </si>
  <si>
    <t>เป่ยซาน</t>
  </si>
  <si>
    <t>เวียดนาม</t>
  </si>
  <si>
    <t>พื้นที่สีเหลือง มีดร๊อปดาวให้เลือกนะคับ</t>
  </si>
  <si>
    <t>จากเชียงของ</t>
  </si>
  <si>
    <t>ถึงเชียงของ</t>
  </si>
  <si>
    <t>ไปบ่เต็น</t>
  </si>
  <si>
    <t>กลับเชียงของ</t>
  </si>
  <si>
    <t>ด่านบ่เต็น</t>
  </si>
  <si>
    <t>น้ำมันไปบ่เต็น</t>
  </si>
  <si>
    <t>น้ำมันกลับเชียงของ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</si>
</sst>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7" formatCode="0.0"/>
    <numFmt numFmtId="188" formatCode="[$-1010000]d/m/yy;@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88" fontId="1" fillId="0" borderId="0"/>
  </cellStyleXfs>
  <cellXfs count="45">
    <xf numFmtId="0" fontId="0" fillId="0" borderId="0" xfId="0"/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0" borderId="0" xfId="0" applyFont="1" applyFill="1"/>
    <xf numFmtId="1" fontId="2" fillId="0" borderId="0" xfId="0" applyNumberFormat="1" applyFont="1" applyFill="1"/>
    <xf numFmtId="0" fontId="1" fillId="0" borderId="0" xfId="1" applyNumberFormat="1" applyAlignment="1">
      <alignment horizontal="center" vertical="center"/>
    </xf>
    <xf numFmtId="0" fontId="1" fillId="0" borderId="0" xfId="1" applyNumberFormat="1"/>
    <xf numFmtId="0" fontId="0" fillId="0" borderId="0" xfId="1" applyNumberFormat="1" applyFont="1"/>
    <xf numFmtId="0" fontId="0" fillId="0" borderId="0" xfId="1" applyNumberFormat="1" applyFont="1" applyAlignment="1">
      <alignment horizontal="center" vertical="center"/>
    </xf>
    <xf numFmtId="0" fontId="1" fillId="0" borderId="0" xfId="1" quotePrefix="1" applyNumberForma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187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87" fontId="0" fillId="0" borderId="8" xfId="0" applyNumberFormat="1" applyBorder="1"/>
    <xf numFmtId="187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87" fontId="0" fillId="0" borderId="14" xfId="0" applyNumberFormat="1" applyBorder="1"/>
    <xf numFmtId="0" fontId="0" fillId="0" borderId="15" xfId="0" applyBorder="1"/>
    <xf numFmtId="187" fontId="0" fillId="0" borderId="16" xfId="0" applyNumberFormat="1" applyBorder="1"/>
    <xf numFmtId="187" fontId="0" fillId="0" borderId="17" xfId="0" applyNumberFormat="1" applyBorder="1"/>
    <xf numFmtId="0" fontId="0" fillId="0" borderId="8" xfId="0" applyBorder="1"/>
    <xf numFmtId="0" fontId="0" fillId="2" borderId="2" xfId="0" applyFill="1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ปกติ" xfId="0" builtinId="0"/>
    <cellStyle name="ปกติ 7" xfId="1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ippingnew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็คเบอร์ตู้"/>
      <sheetName val="D.Path"/>
      <sheetName val="CUS"/>
      <sheetName val="SET"/>
      <sheetName val="D.Car"/>
      <sheetName val="D.inv"/>
      <sheetName val="INVใบขน"/>
      <sheetName val="FROMD"/>
      <sheetName val="P.มังคุด"/>
      <sheetName val="Phyto"/>
      <sheetName val="Sheet1"/>
      <sheetName val="Sche "/>
      <sheetName val="Sup.S.T"/>
      <sheetName val="S.LNS"/>
      <sheetName val="Data"/>
      <sheetName val="From1"/>
    </sheetNames>
    <sheetDataSet>
      <sheetData sheetId="0"/>
      <sheetData sheetId="1"/>
      <sheetData sheetId="2">
        <row r="4">
          <cell r="B4" t="str">
            <v>KKK</v>
          </cell>
        </row>
        <row r="5">
          <cell r="B5" t="str">
            <v>MTHAI</v>
          </cell>
        </row>
        <row r="6">
          <cell r="B6" t="str">
            <v>YC</v>
          </cell>
        </row>
        <row r="7">
          <cell r="B7" t="str">
            <v>เจ้นา</v>
          </cell>
        </row>
        <row r="8">
          <cell r="B8" t="str">
            <v>เจ้ป่าน</v>
          </cell>
        </row>
        <row r="9">
          <cell r="B9" t="str">
            <v>เจ้วรรณ</v>
          </cell>
        </row>
        <row r="10">
          <cell r="B10" t="str">
            <v>โจเหลาป่าน</v>
          </cell>
        </row>
        <row r="11">
          <cell r="B11" t="str">
            <v>ซินฮั๊ว</v>
          </cell>
        </row>
        <row r="12">
          <cell r="B12" t="str">
            <v>ตันหยง</v>
          </cell>
        </row>
        <row r="13">
          <cell r="B13" t="str">
            <v>หงไทหยาง</v>
          </cell>
        </row>
        <row r="14">
          <cell r="B14" t="str">
            <v>อาจาง</v>
          </cell>
        </row>
        <row r="15">
          <cell r="B15" t="str">
            <v>อาชง</v>
          </cell>
        </row>
        <row r="16">
          <cell r="B16" t="str">
            <v>อาปิง</v>
          </cell>
        </row>
        <row r="17">
          <cell r="B17" t="str">
            <v>อาผอง</v>
          </cell>
        </row>
        <row r="18">
          <cell r="B18" t="str">
            <v>อาฝาน</v>
          </cell>
        </row>
        <row r="19">
          <cell r="B19" t="str">
            <v>อาพาน</v>
          </cell>
        </row>
        <row r="20">
          <cell r="B20" t="str">
            <v>อาหมิง</v>
          </cell>
        </row>
        <row r="21">
          <cell r="B21" t="str">
            <v>อาหยก</v>
          </cell>
        </row>
        <row r="22">
          <cell r="B22" t="str">
            <v>อาหวังFF</v>
          </cell>
        </row>
        <row r="23">
          <cell r="B23" t="str">
            <v>อาหวังปลาคู่</v>
          </cell>
        </row>
        <row r="24">
          <cell r="B24" t="str">
            <v>อาเหลียง</v>
          </cell>
        </row>
        <row r="25">
          <cell r="B25" t="str">
            <v>อาเหวิน</v>
          </cell>
        </row>
        <row r="26">
          <cell r="B26" t="str">
            <v>เฮียโชค</v>
          </cell>
        </row>
        <row r="27">
          <cell r="B27" t="str">
            <v>เฮียเอ็ม</v>
          </cell>
        </row>
        <row r="28">
          <cell r="B28" t="str">
            <v>อาหลู</v>
          </cell>
        </row>
        <row r="29">
          <cell r="B29" t="str">
            <v>เจ้คิด</v>
          </cell>
        </row>
        <row r="30">
          <cell r="B30" t="str">
            <v>เจ้เดือน</v>
          </cell>
        </row>
        <row r="31">
          <cell r="B31" t="str">
            <v>เจ้ป๊อบ</v>
          </cell>
        </row>
        <row r="32">
          <cell r="B32" t="str">
            <v>อมรชัย</v>
          </cell>
        </row>
        <row r="33">
          <cell r="B33" t="str">
            <v>NWP</v>
          </cell>
        </row>
        <row r="34">
          <cell r="B34" t="str">
            <v>เจ้หมวย</v>
          </cell>
        </row>
        <row r="35">
          <cell r="B35" t="str">
            <v>เจ้นก</v>
          </cell>
        </row>
      </sheetData>
      <sheetData sheetId="3">
        <row r="3">
          <cell r="B3" t="str">
            <v>Dat</v>
          </cell>
        </row>
        <row r="4">
          <cell r="B4" t="str">
            <v>GPJ</v>
          </cell>
        </row>
        <row r="5">
          <cell r="B5" t="str">
            <v>HOP</v>
          </cell>
        </row>
        <row r="6">
          <cell r="B6" t="str">
            <v>GUA</v>
          </cell>
        </row>
        <row r="7">
          <cell r="B7" t="str">
            <v>GX</v>
          </cell>
        </row>
        <row r="8">
          <cell r="B8" t="str">
            <v>JCH</v>
          </cell>
        </row>
        <row r="9">
          <cell r="B9" t="str">
            <v>JCY</v>
          </cell>
        </row>
        <row r="10">
          <cell r="B10" t="str">
            <v>JCZ</v>
          </cell>
        </row>
        <row r="11">
          <cell r="B11" t="str">
            <v>NCK</v>
          </cell>
        </row>
        <row r="12">
          <cell r="B12" t="str">
            <v>NCZ</v>
          </cell>
        </row>
        <row r="13">
          <cell r="B13" t="str">
            <v>PSL</v>
          </cell>
        </row>
        <row r="14">
          <cell r="B14" t="str">
            <v>PGT</v>
          </cell>
        </row>
        <row r="15">
          <cell r="B15" t="str">
            <v>PHT</v>
          </cell>
        </row>
        <row r="16">
          <cell r="B16" t="str">
            <v>PNT</v>
          </cell>
        </row>
        <row r="17">
          <cell r="B17" t="str">
            <v>PST</v>
          </cell>
        </row>
        <row r="18">
          <cell r="B18" t="str">
            <v>PX</v>
          </cell>
        </row>
        <row r="19">
          <cell r="B19" t="str">
            <v>PXH</v>
          </cell>
        </row>
        <row r="20">
          <cell r="B20" t="str">
            <v>PXM</v>
          </cell>
        </row>
        <row r="21">
          <cell r="B21" t="str">
            <v>PXT</v>
          </cell>
        </row>
        <row r="22">
          <cell r="B22" t="str">
            <v>PYT</v>
          </cell>
        </row>
        <row r="23">
          <cell r="B23" t="str">
            <v>GIE</v>
          </cell>
        </row>
        <row r="25">
          <cell r="B25" t="str">
            <v>ขนุน</v>
          </cell>
        </row>
        <row r="26">
          <cell r="B26" t="str">
            <v>ขนุน-ชมพู่</v>
          </cell>
        </row>
        <row r="27">
          <cell r="B27" t="str">
            <v>ขนุน-ทุเรียน</v>
          </cell>
        </row>
        <row r="28">
          <cell r="B28" t="str">
            <v>ชมพู่</v>
          </cell>
        </row>
        <row r="29">
          <cell r="B29" t="str">
            <v>ทุเรียน</v>
          </cell>
        </row>
        <row r="30">
          <cell r="B30" t="str">
            <v>ทุเรียนแช่แข็ง</v>
          </cell>
        </row>
        <row r="31">
          <cell r="B31" t="str">
            <v>เนื้อลำไยอบแห้ง</v>
          </cell>
        </row>
        <row r="32">
          <cell r="B32" t="str">
            <v>มังคุด</v>
          </cell>
        </row>
        <row r="33">
          <cell r="B33" t="str">
            <v>มังคุดตะกร้าใหญ่</v>
          </cell>
        </row>
        <row r="34">
          <cell r="B34" t="str">
            <v>รถเปล่า</v>
          </cell>
        </row>
        <row r="35">
          <cell r="B35" t="str">
            <v>ลำไย</v>
          </cell>
        </row>
        <row r="36">
          <cell r="B36" t="str">
            <v>ลำไยตะกร้าเล็ก</v>
          </cell>
        </row>
        <row r="37">
          <cell r="B37" t="str">
            <v>ลำไยรวมเล็ก</v>
          </cell>
        </row>
        <row r="38">
          <cell r="B38" t="str">
            <v>ลำไยรวมใหญ่</v>
          </cell>
        </row>
        <row r="39">
          <cell r="B39" t="str">
            <v>ลำไยอบแห้ง</v>
          </cell>
        </row>
        <row r="40">
          <cell r="B40" t="str">
            <v>มังคุดตะกร้ารวม</v>
          </cell>
        </row>
        <row r="41">
          <cell r="B41" t="str">
            <v>มังคุดNWP</v>
          </cell>
        </row>
        <row r="77">
          <cell r="C77" t="str">
            <v>มกราคม</v>
          </cell>
          <cell r="G77" t="str">
            <v>ข้ามเช้า</v>
          </cell>
        </row>
        <row r="78">
          <cell r="C78" t="str">
            <v>กุมภาพันธ์</v>
          </cell>
          <cell r="G78" t="str">
            <v>ก่อนเที่ยง</v>
          </cell>
        </row>
        <row r="79">
          <cell r="C79" t="str">
            <v>มีนาคม</v>
          </cell>
          <cell r="G79" t="str">
            <v>ข้ามบ่าย</v>
          </cell>
        </row>
        <row r="80">
          <cell r="C80" t="str">
            <v>เมษายน</v>
          </cell>
          <cell r="G80" t="str">
            <v>ข้ามเย็น</v>
          </cell>
        </row>
        <row r="81">
          <cell r="C81" t="str">
            <v>พฤษภาคม</v>
          </cell>
          <cell r="G81" t="str">
            <v>ไม่ได้ข้าม</v>
          </cell>
        </row>
        <row r="82">
          <cell r="C82" t="str">
            <v>มิถุนายน</v>
          </cell>
          <cell r="G82" t="str">
            <v>รอคำสั่ง</v>
          </cell>
        </row>
        <row r="83">
          <cell r="C83" t="str">
            <v>กรกฎาคม</v>
          </cell>
          <cell r="G83" t="str">
            <v>เพิ่มรายการ</v>
          </cell>
        </row>
        <row r="84">
          <cell r="C84" t="str">
            <v>สิงหาคม</v>
          </cell>
          <cell r="G84" t="str">
            <v xml:space="preserve"> </v>
          </cell>
        </row>
        <row r="85">
          <cell r="C85" t="str">
            <v>กันยายน</v>
          </cell>
        </row>
        <row r="86">
          <cell r="C86" t="str">
            <v>ตุลาคม</v>
          </cell>
        </row>
        <row r="87">
          <cell r="C87" t="str">
            <v>พฤศจิกายน</v>
          </cell>
        </row>
        <row r="88">
          <cell r="C88" t="str">
            <v>ธันวาคม</v>
          </cell>
        </row>
        <row r="93">
          <cell r="B93" t="str">
            <v>LNS</v>
          </cell>
        </row>
        <row r="94">
          <cell r="B94" t="str">
            <v>ART</v>
          </cell>
        </row>
        <row r="95">
          <cell r="B95" t="str">
            <v>เชียงของ</v>
          </cell>
        </row>
        <row r="96">
          <cell r="B96" t="str">
            <v>NWP</v>
          </cell>
        </row>
      </sheetData>
      <sheetData sheetId="4">
        <row r="4">
          <cell r="A4">
            <v>1</v>
          </cell>
          <cell r="O4" t="str">
            <v>70-0589มห.</v>
          </cell>
          <cell r="Q4" t="str">
            <v>กฤษณ์ กลีบกลางดอน</v>
          </cell>
        </row>
        <row r="5">
          <cell r="A5">
            <v>2</v>
          </cell>
          <cell r="O5" t="str">
            <v>70-0591มห.</v>
          </cell>
          <cell r="Q5" t="str">
            <v>กิตติคุณ หลักทอง</v>
          </cell>
        </row>
        <row r="6">
          <cell r="A6">
            <v>3</v>
          </cell>
          <cell r="O6" t="str">
            <v>70-0609มห.</v>
          </cell>
          <cell r="Q6" t="str">
            <v>กิตติพงศ์ สุระสาร</v>
          </cell>
        </row>
        <row r="7">
          <cell r="A7">
            <v>4</v>
          </cell>
          <cell r="O7" t="str">
            <v>70-0610มห.</v>
          </cell>
          <cell r="Q7" t="str">
            <v>กิตติพัฒน์ ทองชมภู</v>
          </cell>
        </row>
        <row r="8">
          <cell r="A8">
            <v>5</v>
          </cell>
          <cell r="O8" t="str">
            <v>70-0644มห.</v>
          </cell>
          <cell r="Q8" t="str">
            <v>ขันตี สิงห์คำป้อง</v>
          </cell>
        </row>
        <row r="9">
          <cell r="A9">
            <v>7</v>
          </cell>
          <cell r="O9" t="str">
            <v>70-0654มห.</v>
          </cell>
          <cell r="Q9" t="str">
            <v>คาร ตุ่นเฮ้า</v>
          </cell>
        </row>
        <row r="10">
          <cell r="A10">
            <v>8</v>
          </cell>
          <cell r="O10" t="str">
            <v>70-0665มห.</v>
          </cell>
          <cell r="Q10" t="str">
            <v>คำผิว เชื้ออินทร์</v>
          </cell>
        </row>
        <row r="11">
          <cell r="A11">
            <v>9</v>
          </cell>
          <cell r="O11" t="str">
            <v>70-0688มห.</v>
          </cell>
          <cell r="Q11" t="str">
            <v>เคน นามสุขา</v>
          </cell>
        </row>
        <row r="12">
          <cell r="A12">
            <v>10</v>
          </cell>
          <cell r="O12" t="str">
            <v>70-0701มห.</v>
          </cell>
          <cell r="Q12" t="str">
            <v>จันที นามสุขา</v>
          </cell>
        </row>
        <row r="13">
          <cell r="A13">
            <v>11</v>
          </cell>
          <cell r="O13" t="str">
            <v>70-0719มห.</v>
          </cell>
          <cell r="Q13" t="str">
            <v>จำนงค์ ดอนแก้วภู่</v>
          </cell>
        </row>
        <row r="14">
          <cell r="A14">
            <v>12</v>
          </cell>
          <cell r="O14" t="str">
            <v>70-0724มห.</v>
          </cell>
          <cell r="Q14" t="str">
            <v>เจริญพงษ์ เจียวกองสกุล</v>
          </cell>
        </row>
        <row r="15">
          <cell r="A15">
            <v>13</v>
          </cell>
          <cell r="O15" t="str">
            <v>70-0725มห.</v>
          </cell>
          <cell r="Q15" t="str">
            <v>เฉลียว เกิดไชยะ</v>
          </cell>
        </row>
        <row r="16">
          <cell r="A16">
            <v>14</v>
          </cell>
          <cell r="O16" t="str">
            <v>70-0726มห.</v>
          </cell>
          <cell r="Q16" t="str">
            <v>ชวาล เพ็ญเกตุการ</v>
          </cell>
        </row>
        <row r="17">
          <cell r="A17">
            <v>15</v>
          </cell>
          <cell r="O17" t="str">
            <v>70-0727มห.</v>
          </cell>
          <cell r="Q17" t="str">
            <v>ชาตรี โนนสุภาพ</v>
          </cell>
        </row>
        <row r="18">
          <cell r="A18">
            <v>17</v>
          </cell>
          <cell r="O18" t="str">
            <v>70-0748มห.</v>
          </cell>
          <cell r="Q18" t="str">
            <v>ชาติชาย บัวปัด</v>
          </cell>
        </row>
        <row r="19">
          <cell r="A19">
            <v>18</v>
          </cell>
          <cell r="O19" t="str">
            <v>70-0751มห.</v>
          </cell>
          <cell r="Q19" t="str">
            <v>ชาละวัน บุตตา</v>
          </cell>
        </row>
        <row r="20">
          <cell r="A20">
            <v>19</v>
          </cell>
          <cell r="O20" t="str">
            <v>70-0754มห.</v>
          </cell>
          <cell r="Q20" t="str">
            <v>เชียง นามสุขา</v>
          </cell>
        </row>
        <row r="21">
          <cell r="A21">
            <v>20</v>
          </cell>
          <cell r="O21" t="str">
            <v>70-0762มห.</v>
          </cell>
          <cell r="Q21" t="str">
            <v>โชคดี ฐานะ</v>
          </cell>
        </row>
        <row r="22">
          <cell r="A22">
            <v>21</v>
          </cell>
          <cell r="O22" t="str">
            <v>70-0766มห.</v>
          </cell>
          <cell r="Q22" t="str">
            <v>ไชยวัฒน์ หรั่งกะโทก</v>
          </cell>
        </row>
        <row r="23">
          <cell r="A23">
            <v>22</v>
          </cell>
          <cell r="O23" t="str">
            <v>70-0773มห.</v>
          </cell>
          <cell r="Q23" t="str">
            <v>ณรงค์ศักดิ์ ริศศรี</v>
          </cell>
        </row>
        <row r="24">
          <cell r="A24">
            <v>23</v>
          </cell>
          <cell r="O24" t="str">
            <v>70-0776มห.</v>
          </cell>
          <cell r="Q24" t="str">
            <v>ณัฐวุฒิ ศาลางาม</v>
          </cell>
        </row>
        <row r="25">
          <cell r="A25">
            <v>24</v>
          </cell>
          <cell r="O25" t="str">
            <v>70-0781มห.</v>
          </cell>
          <cell r="Q25" t="str">
            <v>ตระกูล อ่อนบัตร</v>
          </cell>
        </row>
        <row r="26">
          <cell r="A26">
            <v>25</v>
          </cell>
          <cell r="O26" t="str">
            <v>70-0782มห.</v>
          </cell>
          <cell r="Q26" t="str">
            <v>ทวีเดช ยอดเพชร</v>
          </cell>
        </row>
        <row r="27">
          <cell r="A27">
            <v>27</v>
          </cell>
          <cell r="O27" t="str">
            <v>70-0783มห.</v>
          </cell>
          <cell r="Q27" t="str">
            <v>ทองพูน พรมวงศ์</v>
          </cell>
        </row>
        <row r="28">
          <cell r="A28">
            <v>28</v>
          </cell>
          <cell r="O28" t="str">
            <v>70-0808มห.</v>
          </cell>
          <cell r="Q28" t="str">
            <v>ทองสุข แสงงาม</v>
          </cell>
        </row>
        <row r="29">
          <cell r="A29">
            <v>29</v>
          </cell>
          <cell r="O29" t="str">
            <v>70-0809มห.</v>
          </cell>
          <cell r="Q29" t="str">
            <v>ทินกร แซ่ก๊วย</v>
          </cell>
        </row>
        <row r="30">
          <cell r="A30">
            <v>30</v>
          </cell>
          <cell r="O30" t="str">
            <v>70-0810มห.</v>
          </cell>
          <cell r="Q30" t="str">
            <v>ธนบดี สุกาวงศ์</v>
          </cell>
        </row>
        <row r="31">
          <cell r="A31">
            <v>31</v>
          </cell>
          <cell r="O31" t="str">
            <v>70-0811มห.</v>
          </cell>
          <cell r="Q31" t="str">
            <v>ธนศักดิ์ อาษาดี</v>
          </cell>
        </row>
        <row r="32">
          <cell r="A32">
            <v>32</v>
          </cell>
          <cell r="O32" t="str">
            <v>70-0812มห.</v>
          </cell>
          <cell r="Q32" t="str">
            <v>ธนากร มาประไพร</v>
          </cell>
        </row>
        <row r="33">
          <cell r="A33">
            <v>33</v>
          </cell>
          <cell r="O33" t="str">
            <v>70-0813มห.</v>
          </cell>
          <cell r="Q33" t="str">
            <v>นพดล อุ่นทะยา</v>
          </cell>
        </row>
        <row r="34">
          <cell r="A34">
            <v>34</v>
          </cell>
          <cell r="O34" t="str">
            <v>70-0949มห.</v>
          </cell>
          <cell r="Q34" t="str">
            <v>นันทวุฒิ อรศรี</v>
          </cell>
        </row>
        <row r="35">
          <cell r="A35">
            <v>35</v>
          </cell>
          <cell r="O35" t="str">
            <v>70-0950มห.</v>
          </cell>
          <cell r="Q35" t="str">
            <v>นิพนธ์ สายบัว</v>
          </cell>
        </row>
        <row r="36">
          <cell r="A36">
            <v>37</v>
          </cell>
          <cell r="O36" t="str">
            <v>70-0951มห.</v>
          </cell>
          <cell r="Q36" t="str">
            <v>นิรุตน์ เจ๊กทิม</v>
          </cell>
        </row>
        <row r="37">
          <cell r="A37">
            <v>38</v>
          </cell>
          <cell r="O37" t="str">
            <v>70-0952มห.</v>
          </cell>
          <cell r="Q37" t="str">
            <v>บรรเลง ทยานสิงห์</v>
          </cell>
        </row>
        <row r="38">
          <cell r="A38">
            <v>39</v>
          </cell>
          <cell r="O38" t="str">
            <v>70-0953มห.</v>
          </cell>
          <cell r="Q38" t="str">
            <v>บุญคิด สีล้วน</v>
          </cell>
        </row>
        <row r="39">
          <cell r="A39">
            <v>40</v>
          </cell>
          <cell r="O39" t="str">
            <v>70-0982มห.</v>
          </cell>
          <cell r="Q39" t="str">
            <v>ปฐมฤกษ์ พลศรีราช</v>
          </cell>
        </row>
        <row r="40">
          <cell r="A40">
            <v>41</v>
          </cell>
          <cell r="O40" t="str">
            <v>70-0983มห.</v>
          </cell>
          <cell r="Q40" t="str">
            <v>ประยูร บุญทศ</v>
          </cell>
        </row>
        <row r="41">
          <cell r="A41">
            <v>42</v>
          </cell>
          <cell r="O41" t="str">
            <v>70-0984มห.</v>
          </cell>
          <cell r="Q41" t="str">
            <v>ประสิทธิ์ ชาติเพชร</v>
          </cell>
        </row>
        <row r="42">
          <cell r="A42">
            <v>43</v>
          </cell>
          <cell r="O42" t="str">
            <v>70-0987มห.</v>
          </cell>
          <cell r="Q42" t="str">
            <v>พนอ ยาตรู</v>
          </cell>
        </row>
        <row r="43">
          <cell r="A43">
            <v>44</v>
          </cell>
          <cell r="O43" t="str">
            <v>70-0990มห.</v>
          </cell>
          <cell r="Q43" t="str">
            <v>พรสวรรค์ ช่างปัด</v>
          </cell>
        </row>
        <row r="44">
          <cell r="A44">
            <v>45</v>
          </cell>
          <cell r="O44" t="str">
            <v>70-1009มห.</v>
          </cell>
          <cell r="Q44" t="str">
            <v>พันธ์รพ ทยานสิงห์</v>
          </cell>
        </row>
        <row r="45">
          <cell r="A45">
            <v>47</v>
          </cell>
          <cell r="O45" t="str">
            <v>70-1011มห.</v>
          </cell>
          <cell r="Q45" t="str">
            <v>พิทักษ์ เม่นไพร</v>
          </cell>
        </row>
        <row r="46">
          <cell r="A46">
            <v>48</v>
          </cell>
          <cell r="O46" t="str">
            <v>70-1013มห.</v>
          </cell>
          <cell r="Q46" t="str">
            <v>พูนผล อภิชาติไพบูลย์</v>
          </cell>
        </row>
        <row r="47">
          <cell r="A47">
            <v>49</v>
          </cell>
          <cell r="O47" t="str">
            <v>70-1017มห.</v>
          </cell>
          <cell r="Q47" t="str">
            <v>ไพบูรณ์ ฝ่ายธรรม</v>
          </cell>
        </row>
        <row r="48">
          <cell r="A48">
            <v>50</v>
          </cell>
          <cell r="O48" t="str">
            <v>70-1024มห.</v>
          </cell>
          <cell r="Q48" t="str">
            <v>ไพรัตน์ เขียวขำ</v>
          </cell>
        </row>
        <row r="49">
          <cell r="A49">
            <v>51</v>
          </cell>
          <cell r="O49" t="str">
            <v>70-1025มห.</v>
          </cell>
          <cell r="Q49" t="str">
            <v>มงคล พรมมาเยี่ยม</v>
          </cell>
        </row>
        <row r="50">
          <cell r="A50">
            <v>52</v>
          </cell>
          <cell r="O50" t="str">
            <v>70-1037มห.</v>
          </cell>
          <cell r="Q50" t="str">
            <v>มธุรส แสนวันศรี</v>
          </cell>
        </row>
        <row r="51">
          <cell r="A51">
            <v>53</v>
          </cell>
          <cell r="O51" t="str">
            <v>70-1039มห.</v>
          </cell>
          <cell r="Q51" t="str">
            <v>ยงยุทธ โชติเนตร</v>
          </cell>
        </row>
        <row r="52">
          <cell r="A52">
            <v>54</v>
          </cell>
          <cell r="O52" t="str">
            <v>70-1041มห.</v>
          </cell>
          <cell r="Q52" t="str">
            <v>ยุทธนา เจริญไชย</v>
          </cell>
        </row>
        <row r="53">
          <cell r="A53">
            <v>55</v>
          </cell>
          <cell r="O53" t="str">
            <v>70-1043มห.</v>
          </cell>
          <cell r="Q53" t="str">
            <v>รติพล คุ้มจันทร์</v>
          </cell>
        </row>
        <row r="54">
          <cell r="A54">
            <v>57</v>
          </cell>
          <cell r="O54" t="str">
            <v>70-1045มห.</v>
          </cell>
          <cell r="Q54" t="str">
            <v>รัสมี โชติเนตร</v>
          </cell>
        </row>
        <row r="55">
          <cell r="A55">
            <v>58</v>
          </cell>
          <cell r="O55" t="str">
            <v>70-1047มห.</v>
          </cell>
          <cell r="Q55" t="str">
            <v>รุจิภาส ดวนใหญ่</v>
          </cell>
        </row>
        <row r="56">
          <cell r="A56">
            <v>59</v>
          </cell>
          <cell r="O56" t="str">
            <v>70-1049มห.</v>
          </cell>
          <cell r="Q56" t="str">
            <v>วิชัย สว่างสาลี</v>
          </cell>
        </row>
        <row r="57">
          <cell r="A57">
            <v>70</v>
          </cell>
          <cell r="O57" t="str">
            <v>70-1075มห.</v>
          </cell>
          <cell r="Q57" t="str">
            <v>วิทยากร แสงนวล</v>
          </cell>
        </row>
        <row r="58">
          <cell r="A58">
            <v>71</v>
          </cell>
          <cell r="O58" t="str">
            <v>70-1077มห.</v>
          </cell>
          <cell r="Q58" t="str">
            <v>วิทูล อ่ำเจ๊ก</v>
          </cell>
        </row>
        <row r="59">
          <cell r="A59">
            <v>72</v>
          </cell>
          <cell r="O59" t="str">
            <v>70-1079มห.</v>
          </cell>
          <cell r="Q59" t="str">
            <v>วินัย ดอนแก้วภู่</v>
          </cell>
        </row>
        <row r="60">
          <cell r="A60">
            <v>73</v>
          </cell>
          <cell r="O60" t="str">
            <v>70-1081มห.</v>
          </cell>
          <cell r="Q60" t="str">
            <v>วีระศักดิ์ ครองผล</v>
          </cell>
        </row>
        <row r="61">
          <cell r="A61">
            <v>74</v>
          </cell>
          <cell r="O61" t="str">
            <v>70-1083มห.</v>
          </cell>
          <cell r="Q61" t="str">
            <v>ศรีสังวาล ผุยผล</v>
          </cell>
        </row>
        <row r="62">
          <cell r="A62">
            <v>75</v>
          </cell>
          <cell r="O62" t="str">
            <v>70-1085มห.</v>
          </cell>
          <cell r="Q62" t="str">
            <v>ศักดิ์สิทธิ์ สีชาลี</v>
          </cell>
        </row>
        <row r="63">
          <cell r="A63">
            <v>76</v>
          </cell>
          <cell r="O63" t="str">
            <v>70-0873จบ.</v>
          </cell>
          <cell r="Q63" t="str">
            <v>ศิริชัย ถาวรชาติ</v>
          </cell>
        </row>
        <row r="64">
          <cell r="A64">
            <v>77</v>
          </cell>
          <cell r="O64" t="str">
            <v>70-0760จบ.</v>
          </cell>
          <cell r="Q64" t="str">
            <v>สงกรานต์ สรวงษ์</v>
          </cell>
        </row>
        <row r="65">
          <cell r="A65">
            <v>78</v>
          </cell>
          <cell r="O65" t="str">
            <v>70-0807จบ.</v>
          </cell>
          <cell r="Q65" t="str">
            <v>สนิท อะทุมทราย</v>
          </cell>
        </row>
        <row r="66">
          <cell r="A66">
            <v>79</v>
          </cell>
          <cell r="O66" t="str">
            <v>70-0775จบ.</v>
          </cell>
          <cell r="Q66" t="str">
            <v>สมเกียรติ จันทร์ผอง</v>
          </cell>
        </row>
        <row r="67">
          <cell r="A67">
            <v>80</v>
          </cell>
          <cell r="O67" t="str">
            <v>70-0878จบ.</v>
          </cell>
          <cell r="Q67" t="str">
            <v>สมยศ ดวงแข</v>
          </cell>
        </row>
        <row r="68">
          <cell r="A68">
            <v>81</v>
          </cell>
          <cell r="O68" t="str">
            <v>72-1348ชบ.</v>
          </cell>
          <cell r="Q68" t="str">
            <v>สายธาร ทองชมภู</v>
          </cell>
        </row>
        <row r="69">
          <cell r="A69">
            <v>82</v>
          </cell>
          <cell r="O69" t="str">
            <v>72-3364ชบ.</v>
          </cell>
          <cell r="Q69" t="str">
            <v>สุขสันต์ พรหมศิริ</v>
          </cell>
        </row>
        <row r="70">
          <cell r="A70">
            <v>83</v>
          </cell>
          <cell r="O70" t="str">
            <v>72-1895ชบ.</v>
          </cell>
          <cell r="Q70" t="str">
            <v>สุจินต์ เมียศพรม</v>
          </cell>
        </row>
        <row r="71">
          <cell r="A71">
            <v>84</v>
          </cell>
          <cell r="O71" t="str">
            <v>71-8995ชบ.</v>
          </cell>
          <cell r="Q71" t="str">
            <v>สุรชัย ยิ้มประเสริฐ</v>
          </cell>
        </row>
        <row r="72">
          <cell r="A72">
            <v>85</v>
          </cell>
          <cell r="O72" t="str">
            <v>72-1895ชบ.</v>
          </cell>
          <cell r="Q72" t="str">
            <v>สุรชัย สุดตา</v>
          </cell>
        </row>
        <row r="73">
          <cell r="A73">
            <v>86</v>
          </cell>
          <cell r="O73" t="str">
            <v>71-7157ชบ.</v>
          </cell>
          <cell r="Q73" t="str">
            <v>สุรเดช รุ่งเรือง</v>
          </cell>
        </row>
        <row r="74">
          <cell r="A74">
            <v>87</v>
          </cell>
          <cell r="O74" t="str">
            <v>72-0158ชบ.</v>
          </cell>
          <cell r="Q74" t="str">
            <v>สุรพล แก่นท้าว</v>
          </cell>
        </row>
        <row r="75">
          <cell r="A75">
            <v>88</v>
          </cell>
          <cell r="O75" t="str">
            <v>72-2461ชบ.</v>
          </cell>
          <cell r="Q75" t="str">
            <v>สุริยะ นวลแย้ม</v>
          </cell>
        </row>
        <row r="76">
          <cell r="A76">
            <v>89</v>
          </cell>
          <cell r="O76" t="str">
            <v>72-0157ชบ.</v>
          </cell>
          <cell r="Q76" t="str">
            <v>อดุลย์ สุโพธิ์แสน</v>
          </cell>
        </row>
        <row r="77">
          <cell r="A77">
            <v>90</v>
          </cell>
          <cell r="O77" t="str">
            <v>72-1348ชบ.</v>
          </cell>
          <cell r="Q77" t="str">
            <v>อเนก ศรีเพชร</v>
          </cell>
        </row>
        <row r="78">
          <cell r="A78">
            <v>91</v>
          </cell>
          <cell r="O78" t="str">
            <v>71-7157ชบ.</v>
          </cell>
          <cell r="Q78" t="str">
            <v>อมรเทพ ถือผล</v>
          </cell>
        </row>
        <row r="79">
          <cell r="A79">
            <v>92</v>
          </cell>
          <cell r="O79" t="str">
            <v>72-0457ชบ.</v>
          </cell>
          <cell r="Q79" t="str">
            <v>อำนาจ โชติเนตร</v>
          </cell>
        </row>
        <row r="80">
          <cell r="A80">
            <v>93</v>
          </cell>
          <cell r="O80" t="str">
            <v>72-3075ชบ.</v>
          </cell>
          <cell r="Q80" t="str">
            <v>อำนาจ ปราบเพ็ชร</v>
          </cell>
        </row>
        <row r="81">
          <cell r="A81">
            <v>94</v>
          </cell>
          <cell r="O81" t="str">
            <v>71-8592ชบ.</v>
          </cell>
          <cell r="Q81" t="str">
            <v>อุดร มาลาสาย</v>
          </cell>
        </row>
        <row r="82">
          <cell r="A82">
            <v>95</v>
          </cell>
          <cell r="O82" t="str">
            <v>70-2281ชม.</v>
          </cell>
          <cell r="Q82" t="str">
            <v>อุทัย หงษ์อินทร์</v>
          </cell>
        </row>
        <row r="83">
          <cell r="A83">
            <v>96</v>
          </cell>
          <cell r="O83" t="str">
            <v>72-2461ชบ.</v>
          </cell>
          <cell r="Q83" t="str">
            <v>อุเทน ทองชมภู</v>
          </cell>
        </row>
        <row r="84">
          <cell r="A84">
            <v>97</v>
          </cell>
          <cell r="O84" t="str">
            <v>71-8995ชบ.</v>
          </cell>
          <cell r="Q84" t="str">
            <v>เอกราช ศรีชะนะ</v>
          </cell>
        </row>
        <row r="85">
          <cell r="A85">
            <v>98</v>
          </cell>
          <cell r="O85" t="str">
            <v>72-3365ชบ.</v>
          </cell>
          <cell r="Q85" t="str">
            <v>เอกอำพล ศรีลาศักดิ์</v>
          </cell>
        </row>
        <row r="86">
          <cell r="A86">
            <v>99</v>
          </cell>
          <cell r="O86" t="str">
            <v>71-8593ชบ.</v>
          </cell>
          <cell r="Q86" t="str">
            <v>โอนสิทธิ์ ทิพย์สิงห์</v>
          </cell>
        </row>
        <row r="87">
          <cell r="A87">
            <v>100</v>
          </cell>
          <cell r="O87" t="str">
            <v>71-7021ชบ.</v>
          </cell>
          <cell r="Q87" t="str">
            <v xml:space="preserve">ประสิทธิ์ </v>
          </cell>
        </row>
        <row r="88">
          <cell r="A88">
            <v>101</v>
          </cell>
          <cell r="O88" t="str">
            <v>71-7158ชบ.</v>
          </cell>
          <cell r="Q88" t="str">
            <v>ประจวบ</v>
          </cell>
        </row>
        <row r="89">
          <cell r="A89">
            <v>102</v>
          </cell>
          <cell r="O89" t="str">
            <v>71-7156ชบ.</v>
          </cell>
          <cell r="Q89" t="str">
            <v>รุ่งเพชร บุญรำไพ</v>
          </cell>
        </row>
        <row r="90">
          <cell r="A90">
            <v>103</v>
          </cell>
          <cell r="O90" t="str">
            <v>70-0886จบ.</v>
          </cell>
          <cell r="Q90" t="str">
            <v>ณัฐพล ลุดไธสง</v>
          </cell>
        </row>
        <row r="91">
          <cell r="A91">
            <v>104</v>
          </cell>
          <cell r="O91" t="str">
            <v>70-0818จบ.</v>
          </cell>
          <cell r="Q91" t="str">
            <v>เพลิน แสวงชล</v>
          </cell>
        </row>
        <row r="92">
          <cell r="A92">
            <v>105</v>
          </cell>
          <cell r="O92" t="str">
            <v>70-1566สร.</v>
          </cell>
          <cell r="Q92" t="str">
            <v>ทวี กระจ่างโพธิ์</v>
          </cell>
        </row>
        <row r="93">
          <cell r="A93">
            <v>106</v>
          </cell>
          <cell r="O93" t="str">
            <v>70-1395สร.</v>
          </cell>
          <cell r="Q93" t="str">
            <v>สันติ</v>
          </cell>
        </row>
        <row r="94">
          <cell r="A94">
            <v>107</v>
          </cell>
          <cell r="O94" t="str">
            <v>70-1351สร.</v>
          </cell>
        </row>
        <row r="95">
          <cell r="A95">
            <v>108</v>
          </cell>
          <cell r="O95" t="str">
            <v>77-3960กทม.</v>
          </cell>
        </row>
        <row r="96">
          <cell r="A96">
            <v>109</v>
          </cell>
          <cell r="O96" t="str">
            <v>71-8758ชบ.</v>
          </cell>
        </row>
        <row r="97">
          <cell r="A97">
            <v>110</v>
          </cell>
          <cell r="O97" t="str">
            <v>71-9134ชบ.</v>
          </cell>
        </row>
        <row r="98">
          <cell r="A98">
            <v>111</v>
          </cell>
          <cell r="O98" t="str">
            <v>72-1861ชบ.</v>
          </cell>
        </row>
        <row r="99">
          <cell r="A99">
            <v>112</v>
          </cell>
          <cell r="O99" t="str">
            <v>78-4836กทม.</v>
          </cell>
        </row>
        <row r="100">
          <cell r="A100">
            <v>113</v>
          </cell>
          <cell r="O100" t="str">
            <v>78-5628กทม.</v>
          </cell>
        </row>
        <row r="101">
          <cell r="A101">
            <v>114</v>
          </cell>
          <cell r="O101" t="str">
            <v>71-9166ชบ.</v>
          </cell>
        </row>
        <row r="102">
          <cell r="A102">
            <v>115</v>
          </cell>
          <cell r="O102" t="str">
            <v>71-4932ชบ.</v>
          </cell>
        </row>
        <row r="103">
          <cell r="A103">
            <v>116</v>
          </cell>
          <cell r="O103" t="str">
            <v>71-9165ชบ.</v>
          </cell>
        </row>
        <row r="104">
          <cell r="A104">
            <v>117</v>
          </cell>
          <cell r="O104" t="str">
            <v>78-5416กทม.</v>
          </cell>
        </row>
        <row r="105">
          <cell r="A105">
            <v>118</v>
          </cell>
          <cell r="O105" t="str">
            <v>61-9799กทม.</v>
          </cell>
        </row>
        <row r="106">
          <cell r="A106">
            <v>119</v>
          </cell>
          <cell r="O106" t="str">
            <v>78-4834กทม.</v>
          </cell>
        </row>
        <row r="107">
          <cell r="A107">
            <v>120</v>
          </cell>
          <cell r="O107" t="str">
            <v>61-9798กทม.</v>
          </cell>
        </row>
        <row r="108">
          <cell r="O108" t="str">
            <v>61-9800กทม.</v>
          </cell>
        </row>
        <row r="109">
          <cell r="O109" t="str">
            <v>61-9801กทม.</v>
          </cell>
        </row>
        <row r="110">
          <cell r="O110" t="str">
            <v>77-3961กทม.</v>
          </cell>
        </row>
        <row r="111">
          <cell r="O111" t="str">
            <v>78-4834กทม.</v>
          </cell>
        </row>
        <row r="112">
          <cell r="O112" t="str">
            <v>71-8590ชบ.</v>
          </cell>
        </row>
      </sheetData>
      <sheetData sheetId="5">
        <row r="3">
          <cell r="D3" t="str">
            <v>HD0001</v>
          </cell>
        </row>
        <row r="4">
          <cell r="D4" t="str">
            <v>HD0002</v>
          </cell>
        </row>
        <row r="5">
          <cell r="D5" t="str">
            <v>HD0003</v>
          </cell>
        </row>
        <row r="6">
          <cell r="D6" t="str">
            <v>HD0004</v>
          </cell>
        </row>
        <row r="7">
          <cell r="D7" t="str">
            <v>HD0005</v>
          </cell>
        </row>
        <row r="8">
          <cell r="D8" t="str">
            <v>HD0006</v>
          </cell>
        </row>
        <row r="9">
          <cell r="D9" t="str">
            <v>HD0007</v>
          </cell>
        </row>
        <row r="10">
          <cell r="D10" t="str">
            <v>HD0008</v>
          </cell>
        </row>
        <row r="11">
          <cell r="D11" t="str">
            <v>HD0009</v>
          </cell>
        </row>
        <row r="12">
          <cell r="D12" t="str">
            <v>HD0010</v>
          </cell>
        </row>
        <row r="13">
          <cell r="D13" t="str">
            <v>HD0011</v>
          </cell>
        </row>
        <row r="14">
          <cell r="D14" t="str">
            <v>HD0012</v>
          </cell>
        </row>
        <row r="15">
          <cell r="D15" t="str">
            <v>HD0013</v>
          </cell>
        </row>
        <row r="16">
          <cell r="D16" t="str">
            <v>HD0014</v>
          </cell>
        </row>
        <row r="17">
          <cell r="D17" t="str">
            <v>HD0015</v>
          </cell>
        </row>
        <row r="18">
          <cell r="D18" t="str">
            <v>HD0016</v>
          </cell>
        </row>
        <row r="19">
          <cell r="D19" t="str">
            <v>HD0017</v>
          </cell>
        </row>
        <row r="20">
          <cell r="D20" t="str">
            <v>HD0018</v>
          </cell>
        </row>
        <row r="21">
          <cell r="D21" t="str">
            <v>HD0019</v>
          </cell>
        </row>
        <row r="22">
          <cell r="D22" t="str">
            <v>HD0020</v>
          </cell>
        </row>
        <row r="23">
          <cell r="D23" t="str">
            <v>HD0021</v>
          </cell>
        </row>
        <row r="24">
          <cell r="D24" t="str">
            <v>HD0022</v>
          </cell>
        </row>
        <row r="25">
          <cell r="D25" t="str">
            <v>HD0023</v>
          </cell>
        </row>
        <row r="26">
          <cell r="D26" t="str">
            <v>HD0024</v>
          </cell>
        </row>
        <row r="27">
          <cell r="D27" t="str">
            <v>HD0025</v>
          </cell>
        </row>
        <row r="28">
          <cell r="D28" t="str">
            <v>HD0026</v>
          </cell>
        </row>
        <row r="29">
          <cell r="D29" t="str">
            <v>HD0027</v>
          </cell>
        </row>
        <row r="30">
          <cell r="D30" t="str">
            <v>HD0028</v>
          </cell>
        </row>
        <row r="31">
          <cell r="D31" t="str">
            <v>HD0029</v>
          </cell>
        </row>
        <row r="32">
          <cell r="D32" t="str">
            <v>Dat0001</v>
          </cell>
        </row>
        <row r="33">
          <cell r="D33" t="str">
            <v>Dat0002</v>
          </cell>
        </row>
        <row r="34">
          <cell r="D34" t="str">
            <v>Dat0003</v>
          </cell>
        </row>
        <row r="35">
          <cell r="D35" t="str">
            <v>Dat0004</v>
          </cell>
        </row>
        <row r="36">
          <cell r="D36" t="str">
            <v>Dat0005</v>
          </cell>
        </row>
        <row r="37">
          <cell r="D37" t="str">
            <v>Dat0006</v>
          </cell>
        </row>
        <row r="38">
          <cell r="D38" t="str">
            <v>Dat0007</v>
          </cell>
        </row>
        <row r="39">
          <cell r="D39" t="str">
            <v>Dat0008</v>
          </cell>
        </row>
        <row r="40">
          <cell r="D40" t="str">
            <v>Dat0009</v>
          </cell>
        </row>
        <row r="41">
          <cell r="D41" t="str">
            <v>Dat0010</v>
          </cell>
        </row>
        <row r="42">
          <cell r="D42" t="str">
            <v>Dat0011</v>
          </cell>
        </row>
        <row r="43">
          <cell r="D43" t="str">
            <v>Dat0012</v>
          </cell>
        </row>
        <row r="44">
          <cell r="D44" t="str">
            <v>Dat0013</v>
          </cell>
        </row>
        <row r="45">
          <cell r="D45" t="str">
            <v>Dat0014</v>
          </cell>
        </row>
        <row r="46">
          <cell r="D46" t="str">
            <v>Dat0015</v>
          </cell>
        </row>
        <row r="47">
          <cell r="D47" t="str">
            <v>HD0030</v>
          </cell>
        </row>
        <row r="48">
          <cell r="D48" t="str">
            <v>HD0031</v>
          </cell>
        </row>
        <row r="49">
          <cell r="D49" t="str">
            <v>HD0032</v>
          </cell>
        </row>
        <row r="50">
          <cell r="D50" t="str">
            <v>HD0033</v>
          </cell>
        </row>
        <row r="51">
          <cell r="D51" t="str">
            <v>HD0034</v>
          </cell>
        </row>
        <row r="52">
          <cell r="D52" t="str">
            <v>HD0035</v>
          </cell>
        </row>
        <row r="53">
          <cell r="D53" t="str">
            <v>HD0036</v>
          </cell>
        </row>
        <row r="54">
          <cell r="D54" t="str">
            <v>HD0037</v>
          </cell>
        </row>
        <row r="55">
          <cell r="D55" t="str">
            <v>HD0038</v>
          </cell>
        </row>
        <row r="56">
          <cell r="D56" t="str">
            <v>HD0039</v>
          </cell>
        </row>
        <row r="57">
          <cell r="D57" t="str">
            <v>HD0040</v>
          </cell>
        </row>
        <row r="58">
          <cell r="D58" t="str">
            <v>HD0041</v>
          </cell>
        </row>
        <row r="59">
          <cell r="D59" t="str">
            <v>HD0042</v>
          </cell>
        </row>
        <row r="60">
          <cell r="D60" t="str">
            <v>HD0043</v>
          </cell>
        </row>
        <row r="61">
          <cell r="D61" t="str">
            <v>HD0044</v>
          </cell>
        </row>
        <row r="62">
          <cell r="D62" t="str">
            <v>HD0045</v>
          </cell>
        </row>
        <row r="63">
          <cell r="D63" t="str">
            <v>HD0046</v>
          </cell>
        </row>
        <row r="64">
          <cell r="D64" t="str">
            <v>HD0047</v>
          </cell>
        </row>
        <row r="65">
          <cell r="D65" t="str">
            <v>HD0048</v>
          </cell>
        </row>
        <row r="66">
          <cell r="D66" t="str">
            <v>HD0049</v>
          </cell>
        </row>
        <row r="67">
          <cell r="D67" t="str">
            <v>HD0050</v>
          </cell>
        </row>
        <row r="68">
          <cell r="D68" t="str">
            <v>HD0051</v>
          </cell>
        </row>
        <row r="69">
          <cell r="D69" t="str">
            <v>HD0052</v>
          </cell>
        </row>
        <row r="70">
          <cell r="D70" t="str">
            <v>HD0053</v>
          </cell>
        </row>
        <row r="71">
          <cell r="D71" t="str">
            <v>HD0054</v>
          </cell>
        </row>
        <row r="72">
          <cell r="D72" t="str">
            <v>HD0055</v>
          </cell>
        </row>
        <row r="73">
          <cell r="D73" t="str">
            <v>HD0056</v>
          </cell>
        </row>
        <row r="74">
          <cell r="D74" t="str">
            <v>HD0057</v>
          </cell>
        </row>
        <row r="75">
          <cell r="D75" t="str">
            <v>HD0058</v>
          </cell>
        </row>
        <row r="76">
          <cell r="D76" t="str">
            <v>HD0059</v>
          </cell>
        </row>
        <row r="77">
          <cell r="D77" t="str">
            <v>HD0060</v>
          </cell>
        </row>
        <row r="78">
          <cell r="D78" t="str">
            <v>HD0061</v>
          </cell>
        </row>
        <row r="79">
          <cell r="D79" t="str">
            <v>HD0062</v>
          </cell>
        </row>
        <row r="80">
          <cell r="D80" t="str">
            <v>Dat0016</v>
          </cell>
        </row>
        <row r="81">
          <cell r="D81" t="str">
            <v>Dat0017</v>
          </cell>
        </row>
        <row r="82">
          <cell r="D82" t="str">
            <v>Dat0018</v>
          </cell>
        </row>
        <row r="83">
          <cell r="D83" t="str">
            <v>Dat0019</v>
          </cell>
        </row>
        <row r="84">
          <cell r="D84" t="str">
            <v>Dat0020</v>
          </cell>
        </row>
        <row r="85">
          <cell r="D85" t="str">
            <v>HD0063</v>
          </cell>
        </row>
        <row r="86">
          <cell r="D86" t="str">
            <v>HD0064</v>
          </cell>
        </row>
        <row r="87">
          <cell r="D87" t="str">
            <v>Dat0021</v>
          </cell>
        </row>
        <row r="88">
          <cell r="D88" t="str">
            <v>Dat0022</v>
          </cell>
        </row>
        <row r="89">
          <cell r="D89" t="str">
            <v>Dat0023</v>
          </cell>
        </row>
        <row r="90">
          <cell r="D90" t="str">
            <v>Dat0024</v>
          </cell>
        </row>
        <row r="91">
          <cell r="D91" t="str">
            <v>Dat0025</v>
          </cell>
        </row>
        <row r="92">
          <cell r="D92" t="str">
            <v>Dat0026</v>
          </cell>
        </row>
        <row r="93">
          <cell r="D93" t="str">
            <v>Dat0027</v>
          </cell>
        </row>
        <row r="94">
          <cell r="D94" t="str">
            <v>Dat0028</v>
          </cell>
        </row>
        <row r="95">
          <cell r="D95" t="str">
            <v>Dat0029</v>
          </cell>
        </row>
        <row r="96">
          <cell r="D96" t="str">
            <v>Dat0030</v>
          </cell>
        </row>
        <row r="97">
          <cell r="D97" t="str">
            <v>Dat0031</v>
          </cell>
        </row>
        <row r="98">
          <cell r="D98" t="str">
            <v>Dat0032</v>
          </cell>
        </row>
        <row r="99">
          <cell r="D99" t="str">
            <v>Dat0033</v>
          </cell>
        </row>
        <row r="100">
          <cell r="D100" t="str">
            <v>Dat0034</v>
          </cell>
        </row>
        <row r="101">
          <cell r="D101" t="str">
            <v>Dat0035</v>
          </cell>
        </row>
        <row r="102">
          <cell r="D102" t="str">
            <v>Dat0036</v>
          </cell>
        </row>
        <row r="103">
          <cell r="D103" t="str">
            <v>Dat0037</v>
          </cell>
        </row>
        <row r="104">
          <cell r="D104" t="str">
            <v>Dat0038</v>
          </cell>
        </row>
        <row r="105">
          <cell r="D105" t="str">
            <v>Dat0039</v>
          </cell>
        </row>
        <row r="106">
          <cell r="D106" t="str">
            <v>Dat0040</v>
          </cell>
        </row>
        <row r="107">
          <cell r="D107" t="str">
            <v>Dat0041</v>
          </cell>
        </row>
        <row r="108">
          <cell r="D108" t="str">
            <v>Dat0042</v>
          </cell>
        </row>
        <row r="109">
          <cell r="D109" t="str">
            <v>Dat0043</v>
          </cell>
        </row>
        <row r="110">
          <cell r="D110" t="str">
            <v>Dat0044</v>
          </cell>
        </row>
        <row r="111">
          <cell r="D111" t="str">
            <v>Dat0045</v>
          </cell>
        </row>
        <row r="112">
          <cell r="D112" t="str">
            <v>Dat0046</v>
          </cell>
        </row>
        <row r="113">
          <cell r="D113" t="str">
            <v>Dat0047</v>
          </cell>
        </row>
        <row r="114">
          <cell r="D114" t="str">
            <v>Dat0048</v>
          </cell>
        </row>
        <row r="115">
          <cell r="D115" t="str">
            <v>Dat0049</v>
          </cell>
        </row>
        <row r="116">
          <cell r="D116" t="str">
            <v>Dat0050</v>
          </cell>
        </row>
        <row r="117">
          <cell r="D117" t="str">
            <v>HD0065</v>
          </cell>
        </row>
        <row r="118">
          <cell r="D118" t="str">
            <v>HD0066</v>
          </cell>
        </row>
        <row r="119">
          <cell r="D119" t="str">
            <v>HD0067</v>
          </cell>
        </row>
        <row r="120">
          <cell r="D120" t="str">
            <v>HD0068</v>
          </cell>
        </row>
        <row r="121">
          <cell r="D121" t="str">
            <v>HD0069</v>
          </cell>
        </row>
        <row r="122">
          <cell r="D122" t="str">
            <v>HD0070</v>
          </cell>
        </row>
        <row r="123">
          <cell r="D123" t="str">
            <v>HD0071</v>
          </cell>
        </row>
        <row r="124">
          <cell r="D124" t="str">
            <v>HD0072</v>
          </cell>
        </row>
        <row r="125">
          <cell r="D125" t="str">
            <v>HD0073</v>
          </cell>
        </row>
        <row r="126">
          <cell r="D126" t="str">
            <v>HD0074</v>
          </cell>
        </row>
        <row r="127">
          <cell r="D127" t="str">
            <v>HD0075</v>
          </cell>
        </row>
        <row r="128">
          <cell r="D128" t="str">
            <v>HD0076</v>
          </cell>
        </row>
        <row r="129">
          <cell r="D129" t="str">
            <v>HD0077</v>
          </cell>
        </row>
        <row r="130">
          <cell r="D130" t="str">
            <v>HD0078</v>
          </cell>
        </row>
        <row r="131">
          <cell r="D131" t="str">
            <v>HD0079</v>
          </cell>
        </row>
        <row r="132">
          <cell r="D132" t="str">
            <v>HD0080</v>
          </cell>
        </row>
        <row r="133">
          <cell r="D133" t="str">
            <v>HD0081</v>
          </cell>
        </row>
        <row r="134">
          <cell r="D134" t="str">
            <v>HD0082</v>
          </cell>
        </row>
        <row r="135">
          <cell r="D135" t="str">
            <v>HD0083</v>
          </cell>
        </row>
        <row r="136">
          <cell r="D136" t="str">
            <v>HD0084</v>
          </cell>
        </row>
        <row r="137">
          <cell r="D137" t="str">
            <v>HD0085</v>
          </cell>
        </row>
        <row r="138">
          <cell r="D138" t="str">
            <v>Dat0051</v>
          </cell>
        </row>
        <row r="139">
          <cell r="D139" t="str">
            <v>HD0086</v>
          </cell>
        </row>
        <row r="140">
          <cell r="D140" t="str">
            <v>HD0087</v>
          </cell>
        </row>
        <row r="141">
          <cell r="D141" t="str">
            <v>HD0088</v>
          </cell>
        </row>
        <row r="142">
          <cell r="D142" t="str">
            <v>HD0089</v>
          </cell>
        </row>
        <row r="143">
          <cell r="D143" t="str">
            <v>HD0090</v>
          </cell>
        </row>
        <row r="144">
          <cell r="D144" t="str">
            <v>HD0091</v>
          </cell>
        </row>
        <row r="145">
          <cell r="D145" t="str">
            <v>HD0092</v>
          </cell>
        </row>
        <row r="146">
          <cell r="D146" t="str">
            <v>HD0093</v>
          </cell>
        </row>
        <row r="147">
          <cell r="D147" t="str">
            <v>HD0094</v>
          </cell>
        </row>
        <row r="148">
          <cell r="D148" t="str">
            <v>HD0095</v>
          </cell>
        </row>
        <row r="149">
          <cell r="D149" t="str">
            <v>HD0096</v>
          </cell>
        </row>
        <row r="150">
          <cell r="D150" t="str">
            <v>HD0097</v>
          </cell>
        </row>
        <row r="151">
          <cell r="D151" t="str">
            <v>HD0098</v>
          </cell>
        </row>
        <row r="152">
          <cell r="D152" t="str">
            <v>HD0099</v>
          </cell>
        </row>
        <row r="153">
          <cell r="D153" t="str">
            <v>HD0100</v>
          </cell>
        </row>
        <row r="154">
          <cell r="D154" t="str">
            <v>HD0101</v>
          </cell>
        </row>
        <row r="155">
          <cell r="D155" t="str">
            <v>HD0102</v>
          </cell>
        </row>
        <row r="156">
          <cell r="D156" t="str">
            <v>HD0103</v>
          </cell>
        </row>
        <row r="157">
          <cell r="D157" t="str">
            <v>HD0104</v>
          </cell>
        </row>
        <row r="158">
          <cell r="D158" t="str">
            <v>HD0105</v>
          </cell>
        </row>
        <row r="159">
          <cell r="D159" t="str">
            <v>HD0106</v>
          </cell>
        </row>
        <row r="160">
          <cell r="D160" t="str">
            <v>HD0107</v>
          </cell>
        </row>
        <row r="161">
          <cell r="D161" t="str">
            <v>HD0108</v>
          </cell>
        </row>
        <row r="162">
          <cell r="D162" t="str">
            <v>HD0109</v>
          </cell>
        </row>
        <row r="163">
          <cell r="D163" t="str">
            <v>HD0110</v>
          </cell>
        </row>
        <row r="164">
          <cell r="D164" t="str">
            <v>Dat0052</v>
          </cell>
        </row>
        <row r="165">
          <cell r="D165" t="str">
            <v>Dat0053</v>
          </cell>
        </row>
        <row r="166">
          <cell r="D166" t="str">
            <v>Dat0054</v>
          </cell>
        </row>
        <row r="167">
          <cell r="D167" t="str">
            <v>Dat0055</v>
          </cell>
        </row>
        <row r="168">
          <cell r="D168" t="str">
            <v>Dat0056</v>
          </cell>
        </row>
        <row r="169">
          <cell r="D169" t="str">
            <v>Dat0057</v>
          </cell>
        </row>
        <row r="170">
          <cell r="D170" t="str">
            <v>Dat0058</v>
          </cell>
        </row>
        <row r="171">
          <cell r="D171" t="str">
            <v>Dat0059</v>
          </cell>
        </row>
        <row r="172">
          <cell r="D172" t="str">
            <v>Dat0060</v>
          </cell>
        </row>
        <row r="173">
          <cell r="D173" t="str">
            <v>Dat0061</v>
          </cell>
        </row>
        <row r="174">
          <cell r="D174" t="str">
            <v>Dat0062</v>
          </cell>
        </row>
        <row r="175">
          <cell r="D175" t="str">
            <v>Dat0063</v>
          </cell>
        </row>
        <row r="176">
          <cell r="D176" t="str">
            <v>Dat0064</v>
          </cell>
        </row>
        <row r="177">
          <cell r="D177" t="str">
            <v>Dat0065</v>
          </cell>
        </row>
        <row r="178">
          <cell r="D178" t="str">
            <v>Dat0066</v>
          </cell>
        </row>
        <row r="179">
          <cell r="D179" t="str">
            <v>Dat0067</v>
          </cell>
        </row>
        <row r="180">
          <cell r="D180" t="str">
            <v>Dat0068</v>
          </cell>
        </row>
        <row r="181">
          <cell r="D181" t="str">
            <v>Dat0069</v>
          </cell>
        </row>
        <row r="182">
          <cell r="D182" t="str">
            <v>Dat0070</v>
          </cell>
        </row>
        <row r="183">
          <cell r="D183" t="str">
            <v>Dat0071</v>
          </cell>
        </row>
        <row r="184">
          <cell r="D184" t="str">
            <v>Dat0072</v>
          </cell>
        </row>
        <row r="185">
          <cell r="D185" t="str">
            <v>Dat0073</v>
          </cell>
        </row>
        <row r="186">
          <cell r="D186" t="str">
            <v>Dat0074</v>
          </cell>
        </row>
        <row r="187">
          <cell r="D187" t="str">
            <v>Dat0075</v>
          </cell>
        </row>
        <row r="188">
          <cell r="D188" t="str">
            <v>Dat0076</v>
          </cell>
        </row>
        <row r="189">
          <cell r="D189" t="str">
            <v>Dat0077</v>
          </cell>
        </row>
        <row r="190">
          <cell r="D190" t="str">
            <v>Dat0078</v>
          </cell>
        </row>
        <row r="191">
          <cell r="D191" t="str">
            <v>Dat0079</v>
          </cell>
        </row>
        <row r="192">
          <cell r="D192" t="str">
            <v>Dat0080</v>
          </cell>
        </row>
        <row r="193">
          <cell r="D193" t="str">
            <v>Dat0081</v>
          </cell>
        </row>
        <row r="194">
          <cell r="D194" t="str">
            <v>Dat0082</v>
          </cell>
        </row>
        <row r="195">
          <cell r="D195" t="str">
            <v>Dat0083</v>
          </cell>
        </row>
        <row r="196">
          <cell r="D196" t="str">
            <v>Dat0084</v>
          </cell>
        </row>
        <row r="197">
          <cell r="D197" t="str">
            <v>Dat0085</v>
          </cell>
        </row>
        <row r="198">
          <cell r="D198" t="str">
            <v>HD0111</v>
          </cell>
        </row>
        <row r="199">
          <cell r="D199" t="str">
            <v>HD0112</v>
          </cell>
        </row>
        <row r="200">
          <cell r="D200" t="str">
            <v>HD0113</v>
          </cell>
        </row>
        <row r="201">
          <cell r="D201" t="str">
            <v>HD0114</v>
          </cell>
        </row>
        <row r="202">
          <cell r="D202" t="str">
            <v>HD0115</v>
          </cell>
        </row>
        <row r="203">
          <cell r="D203" t="str">
            <v>HD0116</v>
          </cell>
        </row>
        <row r="204">
          <cell r="D204" t="str">
            <v>HD0117</v>
          </cell>
        </row>
        <row r="205">
          <cell r="D205" t="str">
            <v>HD0118</v>
          </cell>
        </row>
        <row r="206">
          <cell r="D206" t="str">
            <v>HD0119</v>
          </cell>
        </row>
        <row r="207">
          <cell r="D207" t="str">
            <v>HD0120</v>
          </cell>
        </row>
        <row r="208">
          <cell r="D208" t="str">
            <v>HD0121</v>
          </cell>
        </row>
        <row r="209">
          <cell r="D209" t="str">
            <v>HD0122</v>
          </cell>
        </row>
        <row r="210">
          <cell r="D210" t="str">
            <v>HD0123</v>
          </cell>
        </row>
        <row r="211">
          <cell r="D211" t="str">
            <v>HD0124</v>
          </cell>
        </row>
        <row r="212">
          <cell r="D212" t="str">
            <v>HD0125</v>
          </cell>
        </row>
        <row r="213">
          <cell r="D213" t="str">
            <v>HD0126</v>
          </cell>
        </row>
        <row r="214">
          <cell r="D214" t="str">
            <v>HD0127</v>
          </cell>
        </row>
        <row r="215">
          <cell r="D215" t="str">
            <v>HD0128</v>
          </cell>
        </row>
        <row r="216">
          <cell r="D216" t="str">
            <v>HD0129</v>
          </cell>
        </row>
        <row r="217">
          <cell r="D217" t="str">
            <v>HD0130</v>
          </cell>
        </row>
        <row r="218">
          <cell r="D218" t="str">
            <v>HD0131</v>
          </cell>
        </row>
        <row r="219">
          <cell r="D219" t="str">
            <v>HD0132</v>
          </cell>
        </row>
        <row r="220">
          <cell r="D220" t="str">
            <v>HD0133</v>
          </cell>
        </row>
        <row r="221">
          <cell r="D221" t="str">
            <v>HD0134</v>
          </cell>
        </row>
        <row r="222">
          <cell r="D222" t="str">
            <v>HD0135</v>
          </cell>
        </row>
        <row r="223">
          <cell r="D223" t="str">
            <v>HD0136</v>
          </cell>
        </row>
        <row r="224">
          <cell r="D224" t="str">
            <v>HD0137</v>
          </cell>
        </row>
        <row r="225">
          <cell r="D225" t="str">
            <v>HD0138</v>
          </cell>
        </row>
        <row r="226">
          <cell r="D226" t="str">
            <v>HD0139</v>
          </cell>
        </row>
        <row r="227">
          <cell r="D227" t="str">
            <v>HD0140</v>
          </cell>
        </row>
        <row r="228">
          <cell r="D228" t="str">
            <v>HD0141</v>
          </cell>
        </row>
        <row r="229">
          <cell r="D229" t="str">
            <v>HD0142</v>
          </cell>
        </row>
        <row r="230">
          <cell r="D230" t="str">
            <v>HD0143</v>
          </cell>
        </row>
        <row r="231">
          <cell r="D231" t="str">
            <v>HD0144</v>
          </cell>
        </row>
        <row r="232">
          <cell r="D232" t="str">
            <v>HD0145</v>
          </cell>
        </row>
        <row r="233">
          <cell r="D233" t="str">
            <v>HD0146</v>
          </cell>
        </row>
        <row r="234">
          <cell r="D234" t="str">
            <v>HD0147</v>
          </cell>
        </row>
        <row r="235">
          <cell r="D235" t="str">
            <v>HD0148</v>
          </cell>
        </row>
        <row r="236">
          <cell r="D236" t="str">
            <v>HD0149</v>
          </cell>
        </row>
        <row r="237">
          <cell r="D237" t="str">
            <v>HD0150</v>
          </cell>
        </row>
        <row r="238">
          <cell r="D238" t="str">
            <v>HD0151</v>
          </cell>
        </row>
        <row r="239">
          <cell r="D239" t="str">
            <v>HD0152</v>
          </cell>
        </row>
        <row r="240">
          <cell r="D240" t="str">
            <v>HD0153</v>
          </cell>
        </row>
        <row r="241">
          <cell r="D241" t="str">
            <v>HD0154</v>
          </cell>
        </row>
        <row r="242">
          <cell r="D242" t="str">
            <v>HD0155</v>
          </cell>
        </row>
        <row r="243">
          <cell r="D243" t="str">
            <v>Dat0086</v>
          </cell>
        </row>
        <row r="244">
          <cell r="D244" t="str">
            <v>Dat0087</v>
          </cell>
        </row>
        <row r="245">
          <cell r="D245" t="str">
            <v>Dat0088</v>
          </cell>
        </row>
        <row r="246">
          <cell r="D246" t="str">
            <v>Dat0089</v>
          </cell>
        </row>
        <row r="247">
          <cell r="D247" t="str">
            <v>Dat0090</v>
          </cell>
        </row>
        <row r="248">
          <cell r="D248" t="str">
            <v>Dat0091</v>
          </cell>
        </row>
        <row r="249">
          <cell r="D249" t="str">
            <v>Dat0092</v>
          </cell>
        </row>
        <row r="250">
          <cell r="D250" t="str">
            <v>Dat0093</v>
          </cell>
        </row>
        <row r="251">
          <cell r="D251" t="str">
            <v>Dat0094</v>
          </cell>
        </row>
        <row r="252">
          <cell r="D252" t="str">
            <v>Dat0095</v>
          </cell>
        </row>
        <row r="253">
          <cell r="D253" t="str">
            <v>Dat0096</v>
          </cell>
        </row>
        <row r="254">
          <cell r="D254" t="str">
            <v>Dat0097</v>
          </cell>
        </row>
        <row r="255">
          <cell r="D255" t="str">
            <v>Dat0098</v>
          </cell>
        </row>
        <row r="256">
          <cell r="D256" t="str">
            <v>Dat0099</v>
          </cell>
        </row>
        <row r="257">
          <cell r="D257" t="str">
            <v>Dat0100</v>
          </cell>
        </row>
        <row r="258">
          <cell r="D258" t="str">
            <v>Dat0101</v>
          </cell>
        </row>
        <row r="259">
          <cell r="D259" t="str">
            <v>Dat0102</v>
          </cell>
        </row>
        <row r="260">
          <cell r="D260" t="str">
            <v>Dat0103</v>
          </cell>
        </row>
        <row r="261">
          <cell r="D261" t="str">
            <v>Dat0104</v>
          </cell>
        </row>
        <row r="262">
          <cell r="D262" t="str">
            <v>Dat0105</v>
          </cell>
        </row>
        <row r="263">
          <cell r="D263" t="str">
            <v>Dat0106</v>
          </cell>
        </row>
        <row r="264">
          <cell r="D264" t="str">
            <v>Dat0107</v>
          </cell>
        </row>
        <row r="265">
          <cell r="D265" t="str">
            <v>Dat0108</v>
          </cell>
        </row>
        <row r="266">
          <cell r="D266" t="str">
            <v>Dat0109</v>
          </cell>
        </row>
        <row r="267">
          <cell r="D267" t="str">
            <v>Dat0110</v>
          </cell>
        </row>
        <row r="268">
          <cell r="D268" t="str">
            <v>Dat0111</v>
          </cell>
        </row>
        <row r="269">
          <cell r="D269" t="str">
            <v>Dat0112</v>
          </cell>
        </row>
        <row r="270">
          <cell r="D270" t="str">
            <v>Dat0113</v>
          </cell>
        </row>
        <row r="271">
          <cell r="D271" t="str">
            <v>Dat0114</v>
          </cell>
        </row>
        <row r="272">
          <cell r="D272" t="str">
            <v>Dat0115</v>
          </cell>
        </row>
        <row r="273">
          <cell r="D273" t="str">
            <v>Dat0116</v>
          </cell>
        </row>
        <row r="274">
          <cell r="D274" t="str">
            <v>Dat0117</v>
          </cell>
        </row>
        <row r="275">
          <cell r="D275" t="str">
            <v>Dat0118</v>
          </cell>
        </row>
        <row r="276">
          <cell r="D276" t="str">
            <v>Dat0119</v>
          </cell>
        </row>
        <row r="277">
          <cell r="D277" t="str">
            <v>Dat0120</v>
          </cell>
        </row>
        <row r="278">
          <cell r="D278" t="str">
            <v>Dat0121</v>
          </cell>
        </row>
        <row r="279">
          <cell r="D279" t="str">
            <v>Dat0122</v>
          </cell>
        </row>
        <row r="280">
          <cell r="D280" t="str">
            <v>Dat0123</v>
          </cell>
        </row>
        <row r="281">
          <cell r="D281" t="str">
            <v>Dat0124</v>
          </cell>
        </row>
        <row r="282">
          <cell r="D282" t="str">
            <v>Dat0125</v>
          </cell>
        </row>
        <row r="283">
          <cell r="D283" t="str">
            <v>Dat0126</v>
          </cell>
        </row>
        <row r="284">
          <cell r="D284" t="str">
            <v>Dat0127</v>
          </cell>
        </row>
        <row r="285">
          <cell r="D285" t="str">
            <v>Dat0128</v>
          </cell>
        </row>
        <row r="286">
          <cell r="D286" t="str">
            <v>Dat0129</v>
          </cell>
        </row>
        <row r="287">
          <cell r="D287" t="str">
            <v>Dat0130</v>
          </cell>
        </row>
        <row r="288">
          <cell r="D288" t="str">
            <v>Dat0131</v>
          </cell>
        </row>
        <row r="289">
          <cell r="D289" t="str">
            <v>Dat0132</v>
          </cell>
        </row>
        <row r="290">
          <cell r="D290" t="str">
            <v>Dat0133</v>
          </cell>
        </row>
        <row r="291">
          <cell r="D291" t="str">
            <v>Dat0134</v>
          </cell>
        </row>
        <row r="292">
          <cell r="D292" t="str">
            <v>Dat0135</v>
          </cell>
        </row>
        <row r="293">
          <cell r="D293" t="str">
            <v>Dat0136</v>
          </cell>
        </row>
        <row r="294">
          <cell r="D294" t="str">
            <v>Dat0137</v>
          </cell>
        </row>
        <row r="295">
          <cell r="D295" t="str">
            <v>Dat0138</v>
          </cell>
        </row>
        <row r="296">
          <cell r="D296" t="str">
            <v>Dat0139</v>
          </cell>
        </row>
        <row r="297">
          <cell r="D297" t="str">
            <v>Dat0140</v>
          </cell>
        </row>
        <row r="298">
          <cell r="D298" t="str">
            <v>Dat0141</v>
          </cell>
        </row>
        <row r="299">
          <cell r="D299" t="str">
            <v>Dat0142</v>
          </cell>
        </row>
        <row r="300">
          <cell r="D300" t="str">
            <v>Dat0143</v>
          </cell>
        </row>
        <row r="301">
          <cell r="D301" t="str">
            <v>Dat0144</v>
          </cell>
        </row>
        <row r="302">
          <cell r="D302" t="str">
            <v>Dat0145</v>
          </cell>
        </row>
        <row r="303">
          <cell r="D303" t="str">
            <v>Dat0146</v>
          </cell>
        </row>
        <row r="304">
          <cell r="D304" t="str">
            <v>Dat0147</v>
          </cell>
        </row>
        <row r="305">
          <cell r="D305" t="str">
            <v>Dat0148</v>
          </cell>
        </row>
        <row r="306">
          <cell r="D306" t="str">
            <v>Dat0149</v>
          </cell>
        </row>
        <row r="307">
          <cell r="D307" t="str">
            <v>Dat0150</v>
          </cell>
        </row>
        <row r="308">
          <cell r="D308" t="str">
            <v>Dat0151</v>
          </cell>
        </row>
        <row r="309">
          <cell r="D309" t="str">
            <v>Dat0152</v>
          </cell>
        </row>
        <row r="310">
          <cell r="D310" t="str">
            <v>Dat0153</v>
          </cell>
        </row>
        <row r="311">
          <cell r="D311" t="str">
            <v>Dat0154</v>
          </cell>
        </row>
        <row r="312">
          <cell r="D312" t="str">
            <v>Dat0155</v>
          </cell>
        </row>
        <row r="313">
          <cell r="D313" t="str">
            <v>Dat0156</v>
          </cell>
        </row>
        <row r="314">
          <cell r="D314" t="str">
            <v>Dat0157</v>
          </cell>
        </row>
        <row r="315">
          <cell r="D315" t="str">
            <v>Dat0158</v>
          </cell>
        </row>
        <row r="316">
          <cell r="D316" t="str">
            <v>Dat0159</v>
          </cell>
        </row>
        <row r="317">
          <cell r="D317" t="str">
            <v>Dat0160</v>
          </cell>
        </row>
        <row r="318">
          <cell r="D318" t="str">
            <v>Dat0161</v>
          </cell>
        </row>
        <row r="319">
          <cell r="D319" t="str">
            <v>Dat0162</v>
          </cell>
        </row>
        <row r="320">
          <cell r="D320" t="str">
            <v>Dat0163</v>
          </cell>
        </row>
        <row r="321">
          <cell r="D321" t="str">
            <v>Dat0164</v>
          </cell>
        </row>
        <row r="322">
          <cell r="D322" t="str">
            <v>Dat0165</v>
          </cell>
        </row>
        <row r="323">
          <cell r="D323" t="str">
            <v>Dat0166</v>
          </cell>
        </row>
        <row r="324">
          <cell r="D324" t="str">
            <v>Dat0167</v>
          </cell>
        </row>
        <row r="325">
          <cell r="D325" t="str">
            <v>Dat0168</v>
          </cell>
        </row>
        <row r="326">
          <cell r="D326" t="str">
            <v>Dat0169</v>
          </cell>
        </row>
        <row r="327">
          <cell r="D327" t="str">
            <v>Dat0170</v>
          </cell>
        </row>
        <row r="328">
          <cell r="D328" t="str">
            <v>Dat0171</v>
          </cell>
        </row>
        <row r="329">
          <cell r="D329" t="str">
            <v>Dat0172</v>
          </cell>
        </row>
        <row r="330">
          <cell r="D330" t="str">
            <v>Dat0173</v>
          </cell>
        </row>
        <row r="331">
          <cell r="D331" t="str">
            <v>Dat0174</v>
          </cell>
        </row>
        <row r="332">
          <cell r="D332" t="str">
            <v>Dat0175</v>
          </cell>
        </row>
        <row r="333">
          <cell r="D333" t="str">
            <v>Dat0176</v>
          </cell>
        </row>
        <row r="334">
          <cell r="D334" t="str">
            <v>Dat0177</v>
          </cell>
        </row>
        <row r="335">
          <cell r="D335" t="str">
            <v>Dat0178</v>
          </cell>
        </row>
        <row r="336">
          <cell r="D336" t="str">
            <v>Dat0179</v>
          </cell>
        </row>
        <row r="337">
          <cell r="D337" t="str">
            <v>Dat0180</v>
          </cell>
        </row>
        <row r="338">
          <cell r="D338" t="str">
            <v>Dat0181</v>
          </cell>
        </row>
        <row r="339">
          <cell r="D339" t="str">
            <v>Dat0182</v>
          </cell>
        </row>
        <row r="340">
          <cell r="D340" t="str">
            <v>Dat0183</v>
          </cell>
        </row>
        <row r="341">
          <cell r="D341" t="str">
            <v>Dat0184</v>
          </cell>
        </row>
        <row r="342">
          <cell r="D342" t="str">
            <v>Dat0185</v>
          </cell>
        </row>
        <row r="343">
          <cell r="D343" t="str">
            <v>Dat0186</v>
          </cell>
        </row>
        <row r="344">
          <cell r="D344" t="str">
            <v>Dat0187</v>
          </cell>
        </row>
        <row r="345">
          <cell r="D345" t="str">
            <v>HD0156</v>
          </cell>
        </row>
        <row r="346">
          <cell r="D346" t="str">
            <v>HD0157</v>
          </cell>
        </row>
        <row r="347">
          <cell r="D347" t="str">
            <v>HD0158</v>
          </cell>
        </row>
        <row r="348">
          <cell r="D348" t="str">
            <v>HD0159</v>
          </cell>
        </row>
        <row r="349">
          <cell r="D349" t="str">
            <v>HD0160</v>
          </cell>
        </row>
        <row r="350">
          <cell r="D350" t="str">
            <v>HD0161</v>
          </cell>
        </row>
        <row r="351">
          <cell r="D351" t="str">
            <v>HD0162</v>
          </cell>
        </row>
        <row r="352">
          <cell r="D352" t="str">
            <v>HD0163</v>
          </cell>
        </row>
        <row r="353">
          <cell r="D353" t="str">
            <v>HD0164</v>
          </cell>
        </row>
        <row r="354">
          <cell r="D354" t="str">
            <v>HD0165</v>
          </cell>
        </row>
        <row r="355">
          <cell r="D355" t="str">
            <v>HD0166</v>
          </cell>
        </row>
        <row r="356">
          <cell r="D356" t="str">
            <v>HD0167</v>
          </cell>
        </row>
        <row r="357">
          <cell r="D357" t="str">
            <v>HD0168</v>
          </cell>
        </row>
        <row r="358">
          <cell r="D358" t="str">
            <v>HD0169</v>
          </cell>
        </row>
        <row r="359">
          <cell r="D359" t="str">
            <v>HD0170</v>
          </cell>
        </row>
        <row r="360">
          <cell r="D360" t="str">
            <v>HD0171</v>
          </cell>
        </row>
        <row r="361">
          <cell r="D361" t="str">
            <v>HD0172</v>
          </cell>
        </row>
        <row r="362">
          <cell r="D362" t="str">
            <v>HD0173</v>
          </cell>
        </row>
        <row r="363">
          <cell r="D363" t="str">
            <v>HD0174</v>
          </cell>
        </row>
        <row r="364">
          <cell r="D364" t="str">
            <v>HD0175</v>
          </cell>
        </row>
        <row r="365">
          <cell r="D365" t="str">
            <v>HD0176</v>
          </cell>
        </row>
        <row r="366">
          <cell r="D366" t="str">
            <v>HD0177</v>
          </cell>
        </row>
        <row r="367">
          <cell r="D367" t="str">
            <v>HD0178</v>
          </cell>
        </row>
        <row r="368">
          <cell r="D368" t="str">
            <v>HD0179</v>
          </cell>
        </row>
        <row r="369">
          <cell r="D369" t="str">
            <v>HD0180</v>
          </cell>
        </row>
        <row r="370">
          <cell r="D370" t="str">
            <v>HD0181</v>
          </cell>
        </row>
        <row r="371">
          <cell r="D371" t="str">
            <v>HD0182</v>
          </cell>
        </row>
        <row r="372">
          <cell r="D372" t="str">
            <v>HD0183</v>
          </cell>
        </row>
        <row r="373">
          <cell r="D373" t="str">
            <v>HD0184</v>
          </cell>
        </row>
        <row r="374">
          <cell r="D374" t="str">
            <v>HD0185</v>
          </cell>
        </row>
        <row r="375">
          <cell r="D375" t="str">
            <v>HD0186</v>
          </cell>
        </row>
        <row r="376">
          <cell r="D376" t="str">
            <v>HD0187</v>
          </cell>
        </row>
        <row r="377">
          <cell r="D377" t="str">
            <v>HD0188</v>
          </cell>
        </row>
        <row r="378">
          <cell r="D378" t="str">
            <v>HD0189</v>
          </cell>
        </row>
        <row r="379">
          <cell r="D379" t="str">
            <v>HD0190</v>
          </cell>
        </row>
        <row r="380">
          <cell r="D380" t="str">
            <v>HD0191</v>
          </cell>
        </row>
        <row r="381">
          <cell r="D381" t="str">
            <v>HD0192</v>
          </cell>
        </row>
        <row r="382">
          <cell r="D382" t="str">
            <v>HD0193</v>
          </cell>
        </row>
        <row r="383">
          <cell r="D383" t="str">
            <v>HD0194</v>
          </cell>
        </row>
        <row r="384">
          <cell r="D384" t="str">
            <v>HD0195</v>
          </cell>
        </row>
        <row r="385">
          <cell r="D385" t="str">
            <v>Dat0188</v>
          </cell>
        </row>
        <row r="386">
          <cell r="D386" t="str">
            <v>Dat0189</v>
          </cell>
        </row>
        <row r="387">
          <cell r="D387" t="str">
            <v>Dat0190</v>
          </cell>
        </row>
        <row r="388">
          <cell r="D388" t="str">
            <v>Dat0191</v>
          </cell>
        </row>
        <row r="389">
          <cell r="D389" t="str">
            <v>Dat0192</v>
          </cell>
        </row>
        <row r="390">
          <cell r="D390" t="str">
            <v>Dat0193</v>
          </cell>
        </row>
        <row r="391">
          <cell r="D391" t="str">
            <v>Dat0194</v>
          </cell>
        </row>
        <row r="392">
          <cell r="D392" t="str">
            <v>Dat0195</v>
          </cell>
        </row>
        <row r="393">
          <cell r="D393" t="str">
            <v>Dat0196</v>
          </cell>
        </row>
        <row r="394">
          <cell r="D394" t="str">
            <v>Dat0197</v>
          </cell>
        </row>
        <row r="395">
          <cell r="D395" t="str">
            <v>Dat0198</v>
          </cell>
        </row>
        <row r="396">
          <cell r="D396" t="str">
            <v>Dat0199</v>
          </cell>
        </row>
        <row r="397">
          <cell r="D397" t="str">
            <v>Dat0200</v>
          </cell>
        </row>
        <row r="398">
          <cell r="D398" t="str">
            <v>Dat0201</v>
          </cell>
        </row>
        <row r="399">
          <cell r="D399" t="str">
            <v>Dat0202</v>
          </cell>
        </row>
        <row r="400">
          <cell r="D400" t="str">
            <v>Dat0203</v>
          </cell>
        </row>
        <row r="401">
          <cell r="D401" t="str">
            <v>Dat0204</v>
          </cell>
        </row>
        <row r="402">
          <cell r="D402" t="str">
            <v>Dat0205</v>
          </cell>
        </row>
        <row r="403">
          <cell r="D403" t="str">
            <v>Dat0206</v>
          </cell>
        </row>
        <row r="404">
          <cell r="D404" t="str">
            <v>Dat0207</v>
          </cell>
        </row>
        <row r="405">
          <cell r="D405" t="str">
            <v>Dat0208</v>
          </cell>
        </row>
        <row r="406">
          <cell r="D406" t="str">
            <v>Dat0209</v>
          </cell>
        </row>
        <row r="407">
          <cell r="D407" t="str">
            <v>Dat0210</v>
          </cell>
        </row>
        <row r="408">
          <cell r="D408" t="str">
            <v>HD0196</v>
          </cell>
        </row>
        <row r="409">
          <cell r="D409" t="str">
            <v>HD0197</v>
          </cell>
        </row>
        <row r="410">
          <cell r="D410" t="str">
            <v>HD0198</v>
          </cell>
        </row>
        <row r="411">
          <cell r="D411" t="str">
            <v>HD0199</v>
          </cell>
        </row>
        <row r="412">
          <cell r="D412" t="str">
            <v>HD0200</v>
          </cell>
        </row>
        <row r="413">
          <cell r="D413" t="str">
            <v>HD0201</v>
          </cell>
        </row>
        <row r="414">
          <cell r="D414" t="str">
            <v>HD0202</v>
          </cell>
        </row>
        <row r="415">
          <cell r="D415" t="str">
            <v>HD0203</v>
          </cell>
        </row>
        <row r="416">
          <cell r="D416" t="str">
            <v>HD0204</v>
          </cell>
        </row>
        <row r="417">
          <cell r="D417" t="str">
            <v>HD0205</v>
          </cell>
        </row>
        <row r="418">
          <cell r="D418" t="str">
            <v>Dat0211</v>
          </cell>
        </row>
        <row r="419">
          <cell r="D419" t="str">
            <v>Dat0212</v>
          </cell>
        </row>
        <row r="420">
          <cell r="D420" t="str">
            <v>Dat0213</v>
          </cell>
        </row>
        <row r="421">
          <cell r="D421" t="str">
            <v>Dat0214</v>
          </cell>
        </row>
        <row r="422">
          <cell r="D422" t="str">
            <v>Dat0215</v>
          </cell>
        </row>
        <row r="423">
          <cell r="D423" t="str">
            <v>Dat0216</v>
          </cell>
        </row>
        <row r="424">
          <cell r="D424" t="str">
            <v>Dat0217</v>
          </cell>
        </row>
        <row r="425">
          <cell r="D425" t="str">
            <v>Dat0218</v>
          </cell>
        </row>
        <row r="426">
          <cell r="D426" t="str">
            <v>Dat0219</v>
          </cell>
        </row>
        <row r="427">
          <cell r="D427" t="str">
            <v>Dat0220</v>
          </cell>
        </row>
        <row r="428">
          <cell r="D428" t="str">
            <v>Dat0221</v>
          </cell>
        </row>
        <row r="429">
          <cell r="D429" t="str">
            <v>Dat0222</v>
          </cell>
        </row>
        <row r="430">
          <cell r="D430" t="str">
            <v>Dat0223</v>
          </cell>
        </row>
        <row r="431">
          <cell r="D431" t="str">
            <v>Dat0224</v>
          </cell>
        </row>
        <row r="432">
          <cell r="D432" t="str">
            <v>Dat0225</v>
          </cell>
        </row>
        <row r="433">
          <cell r="D433" t="str">
            <v>Dat0226</v>
          </cell>
        </row>
        <row r="434">
          <cell r="D434" t="str">
            <v>Dat0227</v>
          </cell>
        </row>
        <row r="435">
          <cell r="D435" t="str">
            <v>Dat0228</v>
          </cell>
        </row>
        <row r="436">
          <cell r="D436" t="str">
            <v>Dat0229</v>
          </cell>
        </row>
        <row r="437">
          <cell r="D437" t="str">
            <v>Dat0230</v>
          </cell>
        </row>
        <row r="438">
          <cell r="D438" t="str">
            <v>Dat0231</v>
          </cell>
        </row>
        <row r="439">
          <cell r="D439" t="str">
            <v>Dat0232</v>
          </cell>
        </row>
        <row r="440">
          <cell r="D440" t="str">
            <v>Dat0233</v>
          </cell>
        </row>
        <row r="441">
          <cell r="D441" t="str">
            <v>Dat0234</v>
          </cell>
        </row>
        <row r="442">
          <cell r="D442" t="str">
            <v>Dat0235</v>
          </cell>
        </row>
        <row r="443">
          <cell r="D443" t="str">
            <v>Dat0236</v>
          </cell>
        </row>
        <row r="444">
          <cell r="D444" t="str">
            <v>Dat0237</v>
          </cell>
        </row>
        <row r="445">
          <cell r="D445" t="str">
            <v>Dat0238</v>
          </cell>
        </row>
        <row r="446">
          <cell r="D446" t="str">
            <v>Dat0239</v>
          </cell>
        </row>
        <row r="447">
          <cell r="D447" t="str">
            <v>Dat0240</v>
          </cell>
        </row>
        <row r="448">
          <cell r="D448" t="str">
            <v>Dat0241</v>
          </cell>
        </row>
        <row r="449">
          <cell r="D449" t="str">
            <v>Dat0242</v>
          </cell>
        </row>
        <row r="450">
          <cell r="D450" t="str">
            <v>Dat0243</v>
          </cell>
        </row>
        <row r="451">
          <cell r="D451" t="str">
            <v>Dat0244</v>
          </cell>
        </row>
        <row r="452">
          <cell r="D452" t="str">
            <v>Dat0245</v>
          </cell>
        </row>
        <row r="453">
          <cell r="D453" t="str">
            <v>Dat0246</v>
          </cell>
        </row>
        <row r="454">
          <cell r="D454" t="str">
            <v>Dat0247</v>
          </cell>
        </row>
        <row r="455">
          <cell r="D455" t="str">
            <v>Dat0248</v>
          </cell>
        </row>
        <row r="456">
          <cell r="D456" t="str">
            <v>Dat0249</v>
          </cell>
        </row>
        <row r="457">
          <cell r="D457" t="str">
            <v>Dat0250</v>
          </cell>
        </row>
        <row r="458">
          <cell r="D458" t="str">
            <v>Dat0251</v>
          </cell>
        </row>
        <row r="459">
          <cell r="D459" t="str">
            <v>Dat0252</v>
          </cell>
        </row>
        <row r="460">
          <cell r="D460" t="str">
            <v>Dat0253</v>
          </cell>
        </row>
        <row r="461">
          <cell r="D461" t="str">
            <v>Dat0254</v>
          </cell>
        </row>
        <row r="462">
          <cell r="D462" t="str">
            <v>Dat0255</v>
          </cell>
        </row>
        <row r="463">
          <cell r="D463" t="str">
            <v>Dat0256</v>
          </cell>
        </row>
        <row r="464">
          <cell r="D464" t="str">
            <v>Dat0257</v>
          </cell>
        </row>
        <row r="465">
          <cell r="D465" t="str">
            <v>Dat0258</v>
          </cell>
        </row>
        <row r="466">
          <cell r="D466" t="str">
            <v>Dat0259</v>
          </cell>
        </row>
        <row r="467">
          <cell r="D467" t="str">
            <v>Dat0260</v>
          </cell>
        </row>
        <row r="468">
          <cell r="D468" t="str">
            <v>Dat0261</v>
          </cell>
        </row>
        <row r="469">
          <cell r="D469" t="str">
            <v>Dat0262</v>
          </cell>
        </row>
        <row r="470">
          <cell r="D470" t="str">
            <v>Dat0263</v>
          </cell>
        </row>
        <row r="471">
          <cell r="D471" t="str">
            <v>Dat0264</v>
          </cell>
        </row>
        <row r="472">
          <cell r="D472" t="str">
            <v>Dat0265</v>
          </cell>
        </row>
        <row r="473">
          <cell r="D473" t="str">
            <v>Dat0266</v>
          </cell>
        </row>
        <row r="474">
          <cell r="D474" t="str">
            <v>Dat0267</v>
          </cell>
        </row>
        <row r="475">
          <cell r="D475" t="str">
            <v>Dat0268</v>
          </cell>
        </row>
        <row r="476">
          <cell r="D476" t="str">
            <v>Dat0269</v>
          </cell>
        </row>
        <row r="477">
          <cell r="D477" t="str">
            <v>Dat0270</v>
          </cell>
        </row>
        <row r="478">
          <cell r="D478" t="str">
            <v>Dat0271</v>
          </cell>
        </row>
        <row r="479">
          <cell r="D479" t="str">
            <v>Dat0272</v>
          </cell>
        </row>
        <row r="480">
          <cell r="D480" t="str">
            <v>Dat0273</v>
          </cell>
        </row>
        <row r="481">
          <cell r="D481" t="str">
            <v>Dat0274</v>
          </cell>
        </row>
        <row r="482">
          <cell r="D482" t="str">
            <v>Dat0275</v>
          </cell>
        </row>
        <row r="483">
          <cell r="D483" t="str">
            <v>Dat0276</v>
          </cell>
        </row>
        <row r="484">
          <cell r="D484" t="str">
            <v>Dat0277</v>
          </cell>
        </row>
        <row r="485">
          <cell r="D485" t="str">
            <v>Dat0278</v>
          </cell>
        </row>
        <row r="486">
          <cell r="D486" t="str">
            <v>Dat0279</v>
          </cell>
        </row>
        <row r="487">
          <cell r="D487" t="str">
            <v>Dat0280</v>
          </cell>
        </row>
        <row r="488">
          <cell r="D488" t="str">
            <v>HD0206</v>
          </cell>
        </row>
        <row r="489">
          <cell r="D489" t="str">
            <v>HD0207</v>
          </cell>
        </row>
        <row r="490">
          <cell r="D490" t="str">
            <v>HD0208</v>
          </cell>
        </row>
        <row r="491">
          <cell r="D491" t="str">
            <v>HD0209</v>
          </cell>
        </row>
        <row r="492">
          <cell r="D492" t="str">
            <v>HD0210</v>
          </cell>
        </row>
        <row r="493">
          <cell r="D493" t="str">
            <v>HD0211</v>
          </cell>
        </row>
        <row r="494">
          <cell r="D494" t="str">
            <v>HD0212</v>
          </cell>
        </row>
        <row r="495">
          <cell r="D495" t="str">
            <v>HD0213</v>
          </cell>
        </row>
        <row r="496">
          <cell r="D496" t="str">
            <v>HD0214</v>
          </cell>
        </row>
        <row r="497">
          <cell r="D497" t="str">
            <v>HD0215</v>
          </cell>
        </row>
        <row r="498">
          <cell r="D498" t="str">
            <v>HD0216</v>
          </cell>
        </row>
        <row r="499">
          <cell r="D499" t="str">
            <v>HD0217</v>
          </cell>
        </row>
        <row r="500">
          <cell r="D500" t="str">
            <v>HD0218</v>
          </cell>
        </row>
        <row r="501">
          <cell r="D501" t="str">
            <v>HD0219</v>
          </cell>
        </row>
        <row r="502">
          <cell r="D502" t="str">
            <v>HD0220</v>
          </cell>
        </row>
        <row r="503">
          <cell r="D503" t="str">
            <v>HD0221</v>
          </cell>
        </row>
        <row r="504">
          <cell r="D504" t="str">
            <v>HD0222</v>
          </cell>
        </row>
        <row r="505">
          <cell r="D505" t="str">
            <v>HD0223</v>
          </cell>
        </row>
        <row r="506">
          <cell r="D506" t="str">
            <v>HD0224</v>
          </cell>
        </row>
        <row r="507">
          <cell r="D507" t="str">
            <v>HD0225</v>
          </cell>
        </row>
        <row r="508">
          <cell r="D508" t="str">
            <v>HD0226</v>
          </cell>
        </row>
        <row r="509">
          <cell r="D509" t="str">
            <v>HD0227</v>
          </cell>
        </row>
        <row r="510">
          <cell r="D510" t="str">
            <v>HD0228</v>
          </cell>
        </row>
        <row r="511">
          <cell r="D511" t="str">
            <v>HD0229</v>
          </cell>
        </row>
        <row r="512">
          <cell r="D512" t="str">
            <v>HD0230</v>
          </cell>
        </row>
        <row r="513">
          <cell r="D513" t="str">
            <v>HD0231</v>
          </cell>
        </row>
        <row r="514">
          <cell r="D514" t="str">
            <v>HD0232</v>
          </cell>
        </row>
        <row r="515">
          <cell r="D515" t="str">
            <v>HD0233</v>
          </cell>
        </row>
        <row r="516">
          <cell r="D516" t="str">
            <v>HD0234</v>
          </cell>
        </row>
        <row r="517">
          <cell r="D517" t="str">
            <v>HD0235</v>
          </cell>
        </row>
        <row r="518">
          <cell r="D518" t="str">
            <v>HD0236</v>
          </cell>
        </row>
        <row r="519">
          <cell r="D519" t="str">
            <v>HD0237</v>
          </cell>
        </row>
        <row r="520">
          <cell r="D520" t="str">
            <v>HD0238</v>
          </cell>
        </row>
        <row r="521">
          <cell r="D521" t="str">
            <v>HD0239</v>
          </cell>
        </row>
        <row r="522">
          <cell r="D522" t="str">
            <v>HD0240</v>
          </cell>
        </row>
        <row r="523">
          <cell r="D523" t="str">
            <v>HD0241</v>
          </cell>
        </row>
        <row r="524">
          <cell r="D524" t="str">
            <v>HD0242</v>
          </cell>
        </row>
        <row r="525">
          <cell r="D525" t="str">
            <v>HD0243</v>
          </cell>
        </row>
        <row r="526">
          <cell r="D526" t="str">
            <v>HD0244</v>
          </cell>
        </row>
        <row r="527">
          <cell r="D527" t="str">
            <v>HD0245</v>
          </cell>
        </row>
        <row r="528">
          <cell r="D528" t="str">
            <v>HD0246</v>
          </cell>
        </row>
        <row r="529">
          <cell r="D529" t="str">
            <v>HD0247</v>
          </cell>
        </row>
        <row r="530">
          <cell r="D530" t="str">
            <v>HD0248</v>
          </cell>
        </row>
        <row r="531">
          <cell r="D531" t="str">
            <v>HD0249</v>
          </cell>
        </row>
        <row r="532">
          <cell r="D532" t="str">
            <v>HD0250</v>
          </cell>
        </row>
        <row r="533">
          <cell r="D533" t="str">
            <v>HD0251</v>
          </cell>
        </row>
        <row r="534">
          <cell r="D534" t="str">
            <v>HD0252</v>
          </cell>
        </row>
        <row r="535">
          <cell r="D535" t="str">
            <v>HD0253</v>
          </cell>
        </row>
        <row r="536">
          <cell r="D536" t="str">
            <v>HD0254</v>
          </cell>
        </row>
        <row r="537">
          <cell r="D537" t="str">
            <v>HD0255</v>
          </cell>
        </row>
        <row r="538">
          <cell r="D538" t="str">
            <v>HD0256</v>
          </cell>
        </row>
        <row r="539">
          <cell r="D539" t="str">
            <v>HD0257</v>
          </cell>
        </row>
        <row r="540">
          <cell r="D540" t="str">
            <v>HD0258</v>
          </cell>
        </row>
        <row r="541">
          <cell r="D541" t="str">
            <v>HD0259</v>
          </cell>
        </row>
        <row r="542">
          <cell r="D542" t="str">
            <v>HD0260</v>
          </cell>
        </row>
        <row r="543">
          <cell r="D543" t="str">
            <v>Dat0281</v>
          </cell>
        </row>
        <row r="544">
          <cell r="D544" t="str">
            <v>Dat0282</v>
          </cell>
        </row>
        <row r="545">
          <cell r="D545" t="str">
            <v>Dat0283</v>
          </cell>
        </row>
        <row r="546">
          <cell r="D546" t="str">
            <v>Dat0284</v>
          </cell>
        </row>
        <row r="547">
          <cell r="D547" t="str">
            <v>Dat0285</v>
          </cell>
        </row>
        <row r="548">
          <cell r="D548" t="str">
            <v>Dat0286</v>
          </cell>
        </row>
        <row r="549">
          <cell r="D549" t="str">
            <v>Dat0287</v>
          </cell>
        </row>
        <row r="550">
          <cell r="D550" t="str">
            <v>Dat0288</v>
          </cell>
        </row>
        <row r="551">
          <cell r="D551" t="str">
            <v>Dat0289</v>
          </cell>
        </row>
        <row r="552">
          <cell r="D552" t="str">
            <v>Dat0290</v>
          </cell>
        </row>
        <row r="553">
          <cell r="D553" t="str">
            <v>Dat0291</v>
          </cell>
        </row>
        <row r="554">
          <cell r="D554" t="str">
            <v>Dat0292</v>
          </cell>
        </row>
        <row r="555">
          <cell r="D555" t="str">
            <v>Dat0293</v>
          </cell>
        </row>
        <row r="556">
          <cell r="D556" t="str">
            <v>Dat0294</v>
          </cell>
        </row>
        <row r="557">
          <cell r="D557" t="str">
            <v>Dat0295</v>
          </cell>
        </row>
        <row r="558">
          <cell r="D558" t="str">
            <v>Dat0296</v>
          </cell>
        </row>
        <row r="559">
          <cell r="D559" t="str">
            <v>Dat0297</v>
          </cell>
        </row>
        <row r="560">
          <cell r="D560" t="str">
            <v>Dat0298</v>
          </cell>
        </row>
        <row r="561">
          <cell r="D561" t="str">
            <v>Dat0299</v>
          </cell>
        </row>
        <row r="562">
          <cell r="D562" t="str">
            <v>Dat0300</v>
          </cell>
        </row>
        <row r="563">
          <cell r="D563" t="str">
            <v>Dat0301</v>
          </cell>
        </row>
        <row r="564">
          <cell r="D564" t="str">
            <v>Dat0302</v>
          </cell>
        </row>
        <row r="565">
          <cell r="D565" t="str">
            <v>Dat0303</v>
          </cell>
        </row>
        <row r="566">
          <cell r="D566" t="str">
            <v>Dat0304</v>
          </cell>
        </row>
        <row r="567">
          <cell r="D567" t="str">
            <v>Dat0305</v>
          </cell>
        </row>
        <row r="568">
          <cell r="D568" t="str">
            <v>Dat0306</v>
          </cell>
        </row>
        <row r="569">
          <cell r="D569" t="str">
            <v>Dat0307</v>
          </cell>
        </row>
        <row r="570">
          <cell r="D570" t="str">
            <v>Dat0308</v>
          </cell>
        </row>
        <row r="571">
          <cell r="D571" t="str">
            <v>Dat0309</v>
          </cell>
        </row>
        <row r="572">
          <cell r="D572" t="str">
            <v>Dat0310</v>
          </cell>
        </row>
        <row r="573">
          <cell r="D573" t="str">
            <v>Dat0311</v>
          </cell>
        </row>
        <row r="574">
          <cell r="D574" t="str">
            <v>Dat0312</v>
          </cell>
        </row>
        <row r="575">
          <cell r="D575" t="str">
            <v>Dat0313</v>
          </cell>
        </row>
        <row r="576">
          <cell r="D576" t="str">
            <v>Dat0314</v>
          </cell>
        </row>
        <row r="577">
          <cell r="D577" t="str">
            <v>Dat0315</v>
          </cell>
        </row>
        <row r="578">
          <cell r="D578" t="str">
            <v>Dat0316</v>
          </cell>
        </row>
        <row r="579">
          <cell r="D579" t="str">
            <v>Dat0317</v>
          </cell>
        </row>
        <row r="580">
          <cell r="D580" t="str">
            <v>Dat0318</v>
          </cell>
        </row>
        <row r="581">
          <cell r="D581" t="str">
            <v>Dat0319</v>
          </cell>
        </row>
        <row r="582">
          <cell r="D582" t="str">
            <v>Dat0320</v>
          </cell>
        </row>
        <row r="583">
          <cell r="D583" t="str">
            <v>Dat0321</v>
          </cell>
        </row>
        <row r="584">
          <cell r="D584" t="str">
            <v>Dat0322</v>
          </cell>
        </row>
        <row r="585">
          <cell r="D585" t="str">
            <v>Dat0323</v>
          </cell>
        </row>
        <row r="586">
          <cell r="D586" t="str">
            <v>Dat0324</v>
          </cell>
        </row>
        <row r="587">
          <cell r="D587" t="str">
            <v>Dat0325</v>
          </cell>
        </row>
        <row r="588">
          <cell r="D588" t="str">
            <v>HD0261</v>
          </cell>
        </row>
        <row r="589">
          <cell r="D589" t="str">
            <v>HD0262</v>
          </cell>
        </row>
        <row r="590">
          <cell r="D590" t="str">
            <v>HD0263</v>
          </cell>
        </row>
        <row r="591">
          <cell r="D591" t="str">
            <v>HD0264</v>
          </cell>
        </row>
        <row r="592">
          <cell r="D592" t="str">
            <v>HD0265</v>
          </cell>
        </row>
        <row r="593">
          <cell r="D593" t="str">
            <v>HD0266</v>
          </cell>
        </row>
        <row r="594">
          <cell r="D594" t="str">
            <v>HD0267</v>
          </cell>
        </row>
        <row r="595">
          <cell r="D595" t="str">
            <v>HD0268</v>
          </cell>
        </row>
        <row r="596">
          <cell r="D596" t="str">
            <v>HD0269</v>
          </cell>
        </row>
        <row r="597">
          <cell r="D597" t="str">
            <v>HD0270</v>
          </cell>
        </row>
        <row r="598">
          <cell r="D598" t="str">
            <v>HD0271</v>
          </cell>
        </row>
        <row r="599">
          <cell r="D599" t="str">
            <v>HD0272</v>
          </cell>
        </row>
        <row r="600">
          <cell r="D600" t="str">
            <v>HD0273</v>
          </cell>
        </row>
        <row r="601">
          <cell r="D601" t="str">
            <v>HD0274</v>
          </cell>
        </row>
        <row r="602">
          <cell r="D602" t="str">
            <v>HD0275</v>
          </cell>
        </row>
        <row r="603">
          <cell r="D603" t="str">
            <v>HD0276</v>
          </cell>
        </row>
        <row r="604">
          <cell r="D604" t="str">
            <v>HD0277</v>
          </cell>
        </row>
        <row r="605">
          <cell r="D605" t="str">
            <v>HD0278</v>
          </cell>
        </row>
        <row r="606">
          <cell r="D606" t="str">
            <v>Dat0326</v>
          </cell>
        </row>
        <row r="607">
          <cell r="D607" t="str">
            <v>Dat0327</v>
          </cell>
        </row>
        <row r="608">
          <cell r="D608" t="str">
            <v>Dat0328</v>
          </cell>
        </row>
        <row r="609">
          <cell r="D609" t="str">
            <v>Dat0329</v>
          </cell>
        </row>
        <row r="610">
          <cell r="D610" t="str">
            <v>Dat0330</v>
          </cell>
        </row>
        <row r="611">
          <cell r="D611" t="str">
            <v>Dat0331</v>
          </cell>
        </row>
        <row r="612">
          <cell r="D612" t="str">
            <v>Dat0332</v>
          </cell>
        </row>
        <row r="613">
          <cell r="D613" t="str">
            <v>Dat0333</v>
          </cell>
        </row>
        <row r="614">
          <cell r="D614" t="str">
            <v>Dat0334</v>
          </cell>
        </row>
        <row r="615">
          <cell r="D615" t="str">
            <v>Dat0335</v>
          </cell>
        </row>
        <row r="616">
          <cell r="D616" t="str">
            <v>Dat0336</v>
          </cell>
        </row>
        <row r="617">
          <cell r="D617" t="str">
            <v>Dat0337</v>
          </cell>
        </row>
        <row r="618">
          <cell r="D618" t="str">
            <v>Dat0338</v>
          </cell>
        </row>
        <row r="619">
          <cell r="D619" t="str">
            <v>Dat0339</v>
          </cell>
        </row>
        <row r="620">
          <cell r="D620" t="str">
            <v>Dat0340</v>
          </cell>
        </row>
        <row r="621">
          <cell r="D621" t="str">
            <v>Dat0341</v>
          </cell>
        </row>
        <row r="622">
          <cell r="D622" t="str">
            <v>Dat0342</v>
          </cell>
        </row>
        <row r="623">
          <cell r="D623" t="str">
            <v>Dat0343</v>
          </cell>
        </row>
        <row r="624">
          <cell r="D624" t="str">
            <v>Dat0344</v>
          </cell>
        </row>
        <row r="625">
          <cell r="D625" t="str">
            <v>Dat0345</v>
          </cell>
        </row>
        <row r="626">
          <cell r="D626" t="str">
            <v>Dat0346</v>
          </cell>
        </row>
        <row r="627">
          <cell r="D627" t="str">
            <v>Dat0347</v>
          </cell>
        </row>
        <row r="628">
          <cell r="D628" t="str">
            <v>Dat0348</v>
          </cell>
        </row>
        <row r="629">
          <cell r="D629" t="str">
            <v>Dat0349</v>
          </cell>
        </row>
        <row r="630">
          <cell r="D630" t="str">
            <v>Dat0350</v>
          </cell>
        </row>
        <row r="631">
          <cell r="D631" t="str">
            <v>Dat0351</v>
          </cell>
        </row>
        <row r="632">
          <cell r="D632" t="str">
            <v>Dat0352</v>
          </cell>
        </row>
        <row r="633">
          <cell r="D633" t="str">
            <v>Dat0353</v>
          </cell>
        </row>
        <row r="634">
          <cell r="D634" t="str">
            <v>Dat0354</v>
          </cell>
        </row>
        <row r="635">
          <cell r="D635" t="str">
            <v>Dat0355</v>
          </cell>
        </row>
        <row r="636">
          <cell r="D636" t="str">
            <v>Dat0356</v>
          </cell>
        </row>
        <row r="637">
          <cell r="D637" t="str">
            <v>Dat0357</v>
          </cell>
        </row>
        <row r="638">
          <cell r="D638" t="str">
            <v>Dat0358</v>
          </cell>
        </row>
        <row r="639">
          <cell r="D639" t="str">
            <v>Dat0359</v>
          </cell>
        </row>
        <row r="640">
          <cell r="D640" t="str">
            <v>Dat0360</v>
          </cell>
        </row>
        <row r="641">
          <cell r="D641" t="str">
            <v>Dat0361</v>
          </cell>
        </row>
        <row r="642">
          <cell r="D642" t="str">
            <v>Dat0362</v>
          </cell>
        </row>
        <row r="643">
          <cell r="D643" t="str">
            <v>Dat0363</v>
          </cell>
        </row>
        <row r="644">
          <cell r="D644" t="str">
            <v>Dat0364</v>
          </cell>
        </row>
        <row r="645">
          <cell r="D645" t="str">
            <v>Dat0365</v>
          </cell>
        </row>
        <row r="646">
          <cell r="D646" t="str">
            <v>Dat0366</v>
          </cell>
        </row>
        <row r="647">
          <cell r="D647" t="str">
            <v>Dat0367</v>
          </cell>
        </row>
        <row r="648">
          <cell r="D648" t="str">
            <v>Dat0368</v>
          </cell>
        </row>
        <row r="649">
          <cell r="D649" t="str">
            <v>Dat0369</v>
          </cell>
        </row>
        <row r="650">
          <cell r="D650" t="str">
            <v>Dat0370</v>
          </cell>
        </row>
        <row r="651">
          <cell r="D651" t="str">
            <v>HD0279</v>
          </cell>
        </row>
        <row r="652">
          <cell r="D652" t="str">
            <v>HD0280</v>
          </cell>
        </row>
        <row r="653">
          <cell r="D653" t="str">
            <v>HD0281</v>
          </cell>
        </row>
        <row r="654">
          <cell r="D654" t="str">
            <v>HD0282</v>
          </cell>
        </row>
        <row r="655">
          <cell r="D655" t="str">
            <v>HD0283</v>
          </cell>
        </row>
        <row r="656">
          <cell r="D656" t="str">
            <v>HD0284</v>
          </cell>
        </row>
        <row r="657">
          <cell r="D657" t="str">
            <v>HD0285</v>
          </cell>
        </row>
        <row r="658">
          <cell r="D658" t="str">
            <v>HD0286</v>
          </cell>
        </row>
        <row r="659">
          <cell r="D659" t="str">
            <v>HD0287</v>
          </cell>
        </row>
        <row r="660">
          <cell r="D660" t="str">
            <v>HD0288</v>
          </cell>
        </row>
        <row r="661">
          <cell r="D661" t="str">
            <v>HD0289</v>
          </cell>
        </row>
        <row r="662">
          <cell r="D662" t="str">
            <v>HD0290</v>
          </cell>
        </row>
        <row r="663">
          <cell r="D663" t="str">
            <v>HD0291</v>
          </cell>
        </row>
        <row r="664">
          <cell r="D664" t="str">
            <v>HD0292</v>
          </cell>
        </row>
        <row r="665">
          <cell r="D665" t="str">
            <v>HD0293</v>
          </cell>
        </row>
        <row r="666">
          <cell r="D666" t="str">
            <v>HD0294</v>
          </cell>
        </row>
        <row r="667">
          <cell r="D667" t="str">
            <v>HD0295</v>
          </cell>
        </row>
        <row r="668">
          <cell r="D668" t="str">
            <v>HD0296</v>
          </cell>
        </row>
        <row r="669">
          <cell r="D669" t="str">
            <v>HD0297</v>
          </cell>
        </row>
        <row r="670">
          <cell r="D670" t="str">
            <v>HD0298</v>
          </cell>
        </row>
        <row r="671">
          <cell r="D671" t="str">
            <v>HD0299</v>
          </cell>
        </row>
        <row r="672">
          <cell r="D672" t="str">
            <v>HD0300</v>
          </cell>
        </row>
        <row r="673">
          <cell r="D673" t="str">
            <v>Dat0371</v>
          </cell>
        </row>
        <row r="674">
          <cell r="D674" t="str">
            <v>Dat0372</v>
          </cell>
        </row>
        <row r="675">
          <cell r="D675" t="str">
            <v>Dat0373</v>
          </cell>
        </row>
        <row r="676">
          <cell r="D676" t="str">
            <v>Dat0374</v>
          </cell>
        </row>
        <row r="677">
          <cell r="D677" t="str">
            <v>Dat0375</v>
          </cell>
        </row>
        <row r="678">
          <cell r="D678" t="str">
            <v>Dat0376</v>
          </cell>
        </row>
        <row r="679">
          <cell r="D679" t="str">
            <v>HD0301</v>
          </cell>
        </row>
        <row r="680">
          <cell r="D680" t="str">
            <v>Dat0377</v>
          </cell>
        </row>
        <row r="681">
          <cell r="D681" t="str">
            <v>Dat0378</v>
          </cell>
        </row>
        <row r="682">
          <cell r="D682" t="str">
            <v>Dat0379</v>
          </cell>
        </row>
        <row r="683">
          <cell r="D683" t="str">
            <v>Dat0380</v>
          </cell>
        </row>
        <row r="684">
          <cell r="D684" t="str">
            <v>Dat0381</v>
          </cell>
        </row>
        <row r="685">
          <cell r="D685" t="str">
            <v>Dat0382</v>
          </cell>
        </row>
        <row r="686">
          <cell r="D686" t="str">
            <v>Dat0383</v>
          </cell>
        </row>
        <row r="687">
          <cell r="D687" t="str">
            <v>Dat0384</v>
          </cell>
        </row>
        <row r="688">
          <cell r="D688" t="str">
            <v>Dat0385</v>
          </cell>
        </row>
        <row r="689">
          <cell r="D689" t="str">
            <v>Dat0386</v>
          </cell>
        </row>
        <row r="690">
          <cell r="D690" t="str">
            <v>Dat0387</v>
          </cell>
        </row>
        <row r="691">
          <cell r="D691" t="str">
            <v>Dat0388</v>
          </cell>
        </row>
        <row r="692">
          <cell r="D692" t="str">
            <v>Dat0389</v>
          </cell>
        </row>
        <row r="693">
          <cell r="D693" t="str">
            <v>Dat0390</v>
          </cell>
        </row>
        <row r="694">
          <cell r="D694" t="str">
            <v>Dat0391</v>
          </cell>
        </row>
        <row r="695">
          <cell r="D695" t="str">
            <v>Dat0392</v>
          </cell>
        </row>
        <row r="696">
          <cell r="D696" t="str">
            <v>Dat0393</v>
          </cell>
        </row>
        <row r="697">
          <cell r="D697" t="str">
            <v>Dat0394</v>
          </cell>
        </row>
        <row r="698">
          <cell r="D698" t="str">
            <v>Dat0395</v>
          </cell>
        </row>
        <row r="699">
          <cell r="D699" t="str">
            <v>Dat0396</v>
          </cell>
        </row>
        <row r="700">
          <cell r="D700" t="str">
            <v>Dat0397</v>
          </cell>
        </row>
        <row r="701">
          <cell r="D701" t="str">
            <v>Dat0398</v>
          </cell>
        </row>
        <row r="702">
          <cell r="D702" t="str">
            <v>Dat0399</v>
          </cell>
        </row>
        <row r="703">
          <cell r="D703" t="str">
            <v>Dat0400</v>
          </cell>
        </row>
        <row r="704">
          <cell r="D704" t="str">
            <v>Dat0401</v>
          </cell>
        </row>
        <row r="705">
          <cell r="D705" t="str">
            <v>Dat0402</v>
          </cell>
        </row>
        <row r="706">
          <cell r="D706" t="str">
            <v>Dat0403</v>
          </cell>
        </row>
        <row r="707">
          <cell r="D707" t="str">
            <v>Dat0404</v>
          </cell>
        </row>
        <row r="708">
          <cell r="D708" t="str">
            <v>Dat0405</v>
          </cell>
        </row>
        <row r="709">
          <cell r="D709" t="str">
            <v>Dat0406</v>
          </cell>
        </row>
        <row r="710">
          <cell r="D710" t="str">
            <v>Dat0407</v>
          </cell>
        </row>
        <row r="711">
          <cell r="D711" t="str">
            <v>Dat0408</v>
          </cell>
        </row>
        <row r="712">
          <cell r="D712" t="str">
            <v>Dat0409</v>
          </cell>
        </row>
        <row r="713">
          <cell r="D713" t="str">
            <v>Dat0410</v>
          </cell>
        </row>
        <row r="714">
          <cell r="D714" t="str">
            <v>Dat0411</v>
          </cell>
        </row>
        <row r="715">
          <cell r="D715" t="str">
            <v>Dat0412</v>
          </cell>
        </row>
        <row r="716">
          <cell r="D716" t="str">
            <v>Dat0413</v>
          </cell>
        </row>
        <row r="717">
          <cell r="D717" t="str">
            <v>Dat0414</v>
          </cell>
        </row>
        <row r="718">
          <cell r="D718" t="str">
            <v>Dat0415</v>
          </cell>
        </row>
        <row r="719">
          <cell r="D719" t="str">
            <v>Dat0416</v>
          </cell>
        </row>
        <row r="720">
          <cell r="D720" t="str">
            <v>Dat0417</v>
          </cell>
        </row>
        <row r="721">
          <cell r="D721" t="str">
            <v>Dat0418</v>
          </cell>
        </row>
        <row r="722">
          <cell r="D722" t="str">
            <v>Dat0419</v>
          </cell>
        </row>
        <row r="723">
          <cell r="D723" t="str">
            <v>Dat0420</v>
          </cell>
        </row>
        <row r="724">
          <cell r="D724" t="str">
            <v>HD0302</v>
          </cell>
        </row>
        <row r="725">
          <cell r="D725" t="str">
            <v>HD0303</v>
          </cell>
        </row>
        <row r="726">
          <cell r="D726" t="str">
            <v>HD0304</v>
          </cell>
        </row>
        <row r="727">
          <cell r="D727" t="str">
            <v>HD0305</v>
          </cell>
        </row>
        <row r="728">
          <cell r="D728" t="str">
            <v>HD0306</v>
          </cell>
        </row>
        <row r="729">
          <cell r="D729" t="str">
            <v>HD0307</v>
          </cell>
        </row>
        <row r="730">
          <cell r="D730" t="str">
            <v>HD0308</v>
          </cell>
        </row>
        <row r="731">
          <cell r="D731" t="str">
            <v>HD0309</v>
          </cell>
        </row>
        <row r="732">
          <cell r="D732" t="str">
            <v>HD0310</v>
          </cell>
        </row>
        <row r="733">
          <cell r="D733" t="str">
            <v>HD0311</v>
          </cell>
        </row>
        <row r="734">
          <cell r="D734" t="str">
            <v>HD0312</v>
          </cell>
        </row>
        <row r="735">
          <cell r="D735" t="str">
            <v>HD0313</v>
          </cell>
        </row>
        <row r="736">
          <cell r="D736" t="str">
            <v>HD0314</v>
          </cell>
        </row>
        <row r="737">
          <cell r="D737" t="str">
            <v>HD0315</v>
          </cell>
        </row>
        <row r="738">
          <cell r="D738" t="str">
            <v>HD0316</v>
          </cell>
        </row>
        <row r="739">
          <cell r="D739" t="str">
            <v>HD0317</v>
          </cell>
        </row>
        <row r="740">
          <cell r="D740" t="str">
            <v>HD0318</v>
          </cell>
        </row>
        <row r="741">
          <cell r="D741" t="str">
            <v>HD0319</v>
          </cell>
        </row>
        <row r="742">
          <cell r="D742" t="str">
            <v>HD0320</v>
          </cell>
        </row>
        <row r="743">
          <cell r="D743" t="str">
            <v>Dat0421</v>
          </cell>
        </row>
        <row r="744">
          <cell r="D744" t="str">
            <v>Dat0422</v>
          </cell>
        </row>
        <row r="745">
          <cell r="D745" t="str">
            <v>Dat0423</v>
          </cell>
        </row>
        <row r="746">
          <cell r="D746" t="str">
            <v>Dat0424</v>
          </cell>
        </row>
        <row r="747">
          <cell r="D747" t="str">
            <v>Dat0425</v>
          </cell>
        </row>
        <row r="748">
          <cell r="D748" t="str">
            <v>Dat0426</v>
          </cell>
        </row>
        <row r="749">
          <cell r="D749" t="str">
            <v>Dat0427</v>
          </cell>
        </row>
        <row r="750">
          <cell r="D750" t="str">
            <v>Dat0428</v>
          </cell>
        </row>
        <row r="751">
          <cell r="D751" t="str">
            <v>Dat0429</v>
          </cell>
        </row>
        <row r="752">
          <cell r="D752" t="str">
            <v>Dat0430</v>
          </cell>
        </row>
        <row r="753">
          <cell r="D753" t="str">
            <v>Dat0431</v>
          </cell>
        </row>
        <row r="754">
          <cell r="D754" t="str">
            <v>Dat0432</v>
          </cell>
        </row>
        <row r="755">
          <cell r="D755" t="str">
            <v>Dat0433</v>
          </cell>
        </row>
        <row r="756">
          <cell r="D756" t="str">
            <v>Dat0434</v>
          </cell>
        </row>
        <row r="757">
          <cell r="D757" t="str">
            <v>Dat0435</v>
          </cell>
        </row>
        <row r="758">
          <cell r="D758" t="str">
            <v>Dat0436</v>
          </cell>
        </row>
        <row r="759">
          <cell r="D759" t="str">
            <v>Dat0437</v>
          </cell>
        </row>
        <row r="760">
          <cell r="D760" t="str">
            <v>Dat0438</v>
          </cell>
        </row>
        <row r="761">
          <cell r="D761" t="str">
            <v>Dat0439</v>
          </cell>
        </row>
        <row r="762">
          <cell r="D762" t="str">
            <v>Dat0440</v>
          </cell>
        </row>
        <row r="763">
          <cell r="D763" t="str">
            <v>Dat0441</v>
          </cell>
        </row>
        <row r="764">
          <cell r="D764" t="str">
            <v>Dat0442</v>
          </cell>
        </row>
        <row r="765">
          <cell r="D765" t="str">
            <v>Dat0443</v>
          </cell>
        </row>
        <row r="766">
          <cell r="D766" t="str">
            <v>Dat0444</v>
          </cell>
        </row>
        <row r="767">
          <cell r="D767" t="str">
            <v>Dat0445</v>
          </cell>
        </row>
        <row r="768">
          <cell r="D768" t="str">
            <v>Dat0446</v>
          </cell>
        </row>
        <row r="769">
          <cell r="D769" t="str">
            <v>Dat0447</v>
          </cell>
        </row>
        <row r="770">
          <cell r="D770" t="str">
            <v>Dat0448</v>
          </cell>
        </row>
        <row r="771">
          <cell r="D771" t="str">
            <v>Dat0449</v>
          </cell>
        </row>
        <row r="772">
          <cell r="D772" t="str">
            <v>Dat0450</v>
          </cell>
        </row>
        <row r="773">
          <cell r="D773" t="str">
            <v>Dat0451</v>
          </cell>
        </row>
        <row r="774">
          <cell r="D774" t="str">
            <v>Dat0452</v>
          </cell>
        </row>
        <row r="775">
          <cell r="D775" t="str">
            <v>Dat0453</v>
          </cell>
        </row>
        <row r="776">
          <cell r="D776" t="str">
            <v>Dat0454</v>
          </cell>
        </row>
        <row r="777">
          <cell r="D777" t="str">
            <v>Dat0455</v>
          </cell>
        </row>
        <row r="778">
          <cell r="D778" t="str">
            <v>HD0321</v>
          </cell>
        </row>
        <row r="779">
          <cell r="D779" t="str">
            <v>HD0322</v>
          </cell>
        </row>
        <row r="780">
          <cell r="D780" t="str">
            <v>HD0323</v>
          </cell>
        </row>
        <row r="781">
          <cell r="D781" t="str">
            <v>HD0324</v>
          </cell>
        </row>
        <row r="782">
          <cell r="D782" t="str">
            <v>HD0325</v>
          </cell>
        </row>
        <row r="783">
          <cell r="D783" t="str">
            <v>HD0326</v>
          </cell>
        </row>
        <row r="784">
          <cell r="D784" t="str">
            <v>HD0327</v>
          </cell>
        </row>
        <row r="785">
          <cell r="D785" t="str">
            <v>HD0328</v>
          </cell>
        </row>
        <row r="786">
          <cell r="D786" t="str">
            <v>HD0329</v>
          </cell>
        </row>
        <row r="787">
          <cell r="D787" t="str">
            <v>HD0330</v>
          </cell>
        </row>
        <row r="788">
          <cell r="D788" t="str">
            <v>HD0331</v>
          </cell>
        </row>
        <row r="789">
          <cell r="D789" t="str">
            <v>HD0332</v>
          </cell>
        </row>
        <row r="790">
          <cell r="D790" t="str">
            <v>HD0333</v>
          </cell>
        </row>
        <row r="791">
          <cell r="D791" t="str">
            <v>HD0334</v>
          </cell>
        </row>
        <row r="792">
          <cell r="D792" t="str">
            <v>HD0335</v>
          </cell>
        </row>
        <row r="793">
          <cell r="D793" t="str">
            <v>HD0336</v>
          </cell>
        </row>
        <row r="794">
          <cell r="D794" t="str">
            <v>HD0337</v>
          </cell>
        </row>
        <row r="795">
          <cell r="D795" t="str">
            <v>HD0338</v>
          </cell>
        </row>
        <row r="796">
          <cell r="D796" t="str">
            <v>HD0339</v>
          </cell>
        </row>
        <row r="797">
          <cell r="D797" t="str">
            <v>HD0340</v>
          </cell>
        </row>
        <row r="798">
          <cell r="D798" t="str">
            <v>HD0341</v>
          </cell>
        </row>
        <row r="799">
          <cell r="D799" t="str">
            <v>HD0342</v>
          </cell>
        </row>
        <row r="800">
          <cell r="D800" t="str">
            <v>HD0343</v>
          </cell>
        </row>
        <row r="801">
          <cell r="D801" t="str">
            <v>HD0344</v>
          </cell>
        </row>
        <row r="802">
          <cell r="D802" t="str">
            <v>HD0345</v>
          </cell>
        </row>
        <row r="803">
          <cell r="D803" t="str">
            <v>HD0346</v>
          </cell>
        </row>
        <row r="804">
          <cell r="D804" t="str">
            <v>HD0347</v>
          </cell>
        </row>
        <row r="805">
          <cell r="D805" t="str">
            <v>HD0348</v>
          </cell>
        </row>
        <row r="806">
          <cell r="D806" t="str">
            <v>HD0349</v>
          </cell>
        </row>
        <row r="807">
          <cell r="D807" t="str">
            <v>HD0350</v>
          </cell>
        </row>
        <row r="808">
          <cell r="D808" t="str">
            <v>Dat0456</v>
          </cell>
        </row>
        <row r="809">
          <cell r="D809" t="str">
            <v>Dat0457</v>
          </cell>
        </row>
        <row r="810">
          <cell r="D810" t="str">
            <v>Dat0458</v>
          </cell>
        </row>
        <row r="811">
          <cell r="D811" t="str">
            <v>Dat0459</v>
          </cell>
        </row>
        <row r="812">
          <cell r="D812" t="str">
            <v>Dat0460</v>
          </cell>
        </row>
        <row r="813">
          <cell r="D813" t="str">
            <v>Dat0461</v>
          </cell>
        </row>
        <row r="814">
          <cell r="D814" t="str">
            <v>Dat0462</v>
          </cell>
        </row>
        <row r="815">
          <cell r="D815" t="str">
            <v>Dat0463</v>
          </cell>
        </row>
        <row r="816">
          <cell r="D816" t="str">
            <v>Dat0464</v>
          </cell>
        </row>
        <row r="817">
          <cell r="D817" t="str">
            <v>Dat0465</v>
          </cell>
        </row>
        <row r="818">
          <cell r="D818" t="str">
            <v>Dat0466</v>
          </cell>
        </row>
        <row r="819">
          <cell r="D819" t="str">
            <v>Dat0467</v>
          </cell>
        </row>
        <row r="820">
          <cell r="D820" t="str">
            <v>Dat0468</v>
          </cell>
        </row>
        <row r="821">
          <cell r="D821" t="str">
            <v>Dat0469</v>
          </cell>
        </row>
        <row r="822">
          <cell r="D822" t="str">
            <v>Dat0470</v>
          </cell>
        </row>
        <row r="823">
          <cell r="D823" t="str">
            <v>Dat0471</v>
          </cell>
        </row>
        <row r="824">
          <cell r="D824" t="str">
            <v>Dat0472</v>
          </cell>
        </row>
        <row r="825">
          <cell r="D825" t="str">
            <v>Dat0473</v>
          </cell>
        </row>
        <row r="826">
          <cell r="D826" t="str">
            <v>Dat0474</v>
          </cell>
        </row>
        <row r="827">
          <cell r="D827" t="str">
            <v>Dat0475</v>
          </cell>
        </row>
        <row r="828">
          <cell r="D828" t="str">
            <v>Dat0476</v>
          </cell>
        </row>
        <row r="829">
          <cell r="D829" t="str">
            <v>Dat0477</v>
          </cell>
        </row>
        <row r="830">
          <cell r="D830" t="str">
            <v>Dat0478</v>
          </cell>
        </row>
        <row r="831">
          <cell r="D831" t="str">
            <v>Dat0479</v>
          </cell>
        </row>
        <row r="832">
          <cell r="D832" t="str">
            <v>Dat0480</v>
          </cell>
        </row>
        <row r="833">
          <cell r="D833" t="str">
            <v>Dat0481</v>
          </cell>
        </row>
        <row r="834">
          <cell r="D834" t="str">
            <v>Dat0482</v>
          </cell>
        </row>
        <row r="835">
          <cell r="D835" t="str">
            <v>Dat0483</v>
          </cell>
        </row>
        <row r="836">
          <cell r="D836" t="str">
            <v>Dat0484</v>
          </cell>
        </row>
        <row r="837">
          <cell r="D837" t="str">
            <v>Dat0485</v>
          </cell>
        </row>
        <row r="838">
          <cell r="D838" t="str">
            <v>Dat0486</v>
          </cell>
        </row>
        <row r="839">
          <cell r="D839" t="str">
            <v>Dat0487</v>
          </cell>
        </row>
        <row r="840">
          <cell r="D840" t="str">
            <v>Dat0488</v>
          </cell>
        </row>
        <row r="841">
          <cell r="D841" t="str">
            <v>Dat0489</v>
          </cell>
        </row>
        <row r="842">
          <cell r="D842" t="str">
            <v>Dat0490</v>
          </cell>
        </row>
        <row r="843">
          <cell r="D843" t="str">
            <v>Dat0491</v>
          </cell>
        </row>
        <row r="844">
          <cell r="D844" t="str">
            <v>Dat0492</v>
          </cell>
        </row>
        <row r="845">
          <cell r="D845" t="str">
            <v>Dat0493</v>
          </cell>
        </row>
        <row r="846">
          <cell r="D846" t="str">
            <v>Dat0494</v>
          </cell>
        </row>
        <row r="847">
          <cell r="D847" t="str">
            <v>Dat0495</v>
          </cell>
        </row>
        <row r="848">
          <cell r="D848" t="str">
            <v>Dat0496</v>
          </cell>
        </row>
        <row r="849">
          <cell r="D849" t="str">
            <v>Dat0497</v>
          </cell>
        </row>
        <row r="850">
          <cell r="D850" t="str">
            <v>Dat0498</v>
          </cell>
        </row>
        <row r="851">
          <cell r="D851" t="str">
            <v>Dat0499</v>
          </cell>
        </row>
        <row r="852">
          <cell r="D852" t="str">
            <v>Dat0500</v>
          </cell>
        </row>
        <row r="853">
          <cell r="D853" t="str">
            <v>HD0351</v>
          </cell>
        </row>
        <row r="854">
          <cell r="D854" t="str">
            <v>HD0352</v>
          </cell>
        </row>
        <row r="855">
          <cell r="D855" t="str">
            <v>HD0353</v>
          </cell>
        </row>
        <row r="856">
          <cell r="D856" t="str">
            <v>HD0354</v>
          </cell>
        </row>
        <row r="857">
          <cell r="D857" t="str">
            <v>HD0355</v>
          </cell>
        </row>
        <row r="858">
          <cell r="D858" t="str">
            <v>HD0356</v>
          </cell>
        </row>
        <row r="859">
          <cell r="D859" t="str">
            <v>HD0357</v>
          </cell>
        </row>
        <row r="860">
          <cell r="D860" t="str">
            <v>HD0358</v>
          </cell>
        </row>
        <row r="861">
          <cell r="D861" t="str">
            <v>HD0359</v>
          </cell>
        </row>
        <row r="862">
          <cell r="D862" t="str">
            <v>HD0360</v>
          </cell>
        </row>
        <row r="863">
          <cell r="D863" t="str">
            <v>HD0361</v>
          </cell>
        </row>
        <row r="864">
          <cell r="D864" t="str">
            <v>HD0362</v>
          </cell>
        </row>
        <row r="865">
          <cell r="D865" t="str">
            <v>HD0363</v>
          </cell>
        </row>
        <row r="866">
          <cell r="D866" t="str">
            <v>HD0364</v>
          </cell>
        </row>
        <row r="867">
          <cell r="D867" t="str">
            <v>HD0365</v>
          </cell>
        </row>
        <row r="868">
          <cell r="D868" t="str">
            <v>HD0366</v>
          </cell>
        </row>
        <row r="869">
          <cell r="D869" t="str">
            <v>HD0367</v>
          </cell>
        </row>
        <row r="870">
          <cell r="D870" t="str">
            <v>HD0368</v>
          </cell>
        </row>
        <row r="871">
          <cell r="D871" t="str">
            <v>HD0369</v>
          </cell>
        </row>
        <row r="872">
          <cell r="D872" t="str">
            <v>HD0370</v>
          </cell>
        </row>
        <row r="873">
          <cell r="D873" t="str">
            <v>Dat0501</v>
          </cell>
        </row>
        <row r="874">
          <cell r="D874" t="str">
            <v>Dat0502</v>
          </cell>
        </row>
        <row r="875">
          <cell r="D875" t="str">
            <v>Dat0503</v>
          </cell>
        </row>
        <row r="876">
          <cell r="D876" t="str">
            <v>Dat0504</v>
          </cell>
        </row>
        <row r="877">
          <cell r="D877" t="str">
            <v>Dat0505</v>
          </cell>
        </row>
        <row r="878">
          <cell r="D878" t="str">
            <v>Dat0506</v>
          </cell>
        </row>
        <row r="879">
          <cell r="D879" t="str">
            <v>Dat0507</v>
          </cell>
        </row>
        <row r="880">
          <cell r="D880" t="str">
            <v>Dat0508</v>
          </cell>
        </row>
        <row r="881">
          <cell r="D881" t="str">
            <v>Dat0509</v>
          </cell>
        </row>
        <row r="882">
          <cell r="D882" t="str">
            <v>Dat0510</v>
          </cell>
        </row>
        <row r="883">
          <cell r="D883" t="str">
            <v>Dat0511</v>
          </cell>
        </row>
        <row r="884">
          <cell r="D884" t="str">
            <v>Dat0512</v>
          </cell>
        </row>
        <row r="885">
          <cell r="D885" t="str">
            <v>Dat0513</v>
          </cell>
        </row>
        <row r="886">
          <cell r="D886" t="str">
            <v>Dat0514</v>
          </cell>
        </row>
        <row r="887">
          <cell r="D887" t="str">
            <v>Dat0515</v>
          </cell>
        </row>
        <row r="888">
          <cell r="D888" t="str">
            <v>Dat0516</v>
          </cell>
        </row>
        <row r="889">
          <cell r="D889" t="str">
            <v>Dat0517</v>
          </cell>
        </row>
        <row r="890">
          <cell r="D890" t="str">
            <v>Dat0518</v>
          </cell>
        </row>
        <row r="891">
          <cell r="D891" t="str">
            <v>Dat0519</v>
          </cell>
        </row>
        <row r="892">
          <cell r="D892" t="str">
            <v>Dat0520</v>
          </cell>
        </row>
        <row r="893">
          <cell r="D893" t="str">
            <v>Dat0521</v>
          </cell>
        </row>
        <row r="894">
          <cell r="D894" t="str">
            <v>Dat0522</v>
          </cell>
        </row>
        <row r="895">
          <cell r="D895" t="str">
            <v>Dat0523</v>
          </cell>
        </row>
        <row r="896">
          <cell r="D896" t="str">
            <v>Dat0524</v>
          </cell>
        </row>
        <row r="897">
          <cell r="D897" t="str">
            <v>Dat0525</v>
          </cell>
        </row>
        <row r="898">
          <cell r="D898" t="str">
            <v>Dat0526</v>
          </cell>
        </row>
        <row r="899">
          <cell r="D899" t="str">
            <v>Dat0527</v>
          </cell>
        </row>
        <row r="900">
          <cell r="D900" t="str">
            <v>Dat0528</v>
          </cell>
        </row>
        <row r="901">
          <cell r="D901" t="str">
            <v>Dat0529</v>
          </cell>
        </row>
        <row r="902">
          <cell r="D902" t="str">
            <v>Dat0530</v>
          </cell>
        </row>
        <row r="903">
          <cell r="D903" t="str">
            <v>Dat0531</v>
          </cell>
        </row>
        <row r="904">
          <cell r="D904" t="str">
            <v>Dat0532</v>
          </cell>
        </row>
        <row r="905">
          <cell r="D905" t="str">
            <v>Dat0533</v>
          </cell>
        </row>
        <row r="906">
          <cell r="D906" t="str">
            <v>Dat0534</v>
          </cell>
        </row>
        <row r="907">
          <cell r="D907" t="str">
            <v>Dat0535</v>
          </cell>
        </row>
        <row r="908">
          <cell r="D908" t="str">
            <v>Dat0536</v>
          </cell>
        </row>
        <row r="909">
          <cell r="D909" t="str">
            <v>Dat0537</v>
          </cell>
        </row>
        <row r="910">
          <cell r="D910" t="str">
            <v>Dat0538</v>
          </cell>
        </row>
        <row r="911">
          <cell r="D911" t="str">
            <v>Dat0539</v>
          </cell>
        </row>
        <row r="912">
          <cell r="D912" t="str">
            <v>Dat0540</v>
          </cell>
        </row>
        <row r="913">
          <cell r="D913" t="str">
            <v>HD0371</v>
          </cell>
        </row>
        <row r="914">
          <cell r="D914" t="str">
            <v>HD0372</v>
          </cell>
        </row>
        <row r="915">
          <cell r="D915" t="str">
            <v>HD0373</v>
          </cell>
        </row>
        <row r="916">
          <cell r="D916" t="str">
            <v>HD0374</v>
          </cell>
        </row>
        <row r="917">
          <cell r="D917" t="str">
            <v>HD0375</v>
          </cell>
        </row>
        <row r="918">
          <cell r="D918" t="str">
            <v>HD0376</v>
          </cell>
        </row>
        <row r="919">
          <cell r="D919" t="str">
            <v>HD0377</v>
          </cell>
        </row>
        <row r="920">
          <cell r="D920" t="str">
            <v>HD0378</v>
          </cell>
        </row>
        <row r="921">
          <cell r="D921" t="str">
            <v>HD0379</v>
          </cell>
        </row>
        <row r="922">
          <cell r="D922" t="str">
            <v>HD0380</v>
          </cell>
        </row>
        <row r="923">
          <cell r="D923" t="str">
            <v>Dat0541</v>
          </cell>
        </row>
        <row r="924">
          <cell r="D924" t="str">
            <v>Dat0542</v>
          </cell>
        </row>
        <row r="925">
          <cell r="D925" t="str">
            <v>Dat0543</v>
          </cell>
        </row>
        <row r="926">
          <cell r="D926" t="str">
            <v>Dat0544</v>
          </cell>
        </row>
        <row r="927">
          <cell r="D927" t="str">
            <v>Dat0545</v>
          </cell>
        </row>
        <row r="928">
          <cell r="D928" t="str">
            <v>Dat0546</v>
          </cell>
        </row>
        <row r="929">
          <cell r="D929" t="str">
            <v>Dat0547</v>
          </cell>
        </row>
        <row r="930">
          <cell r="D930" t="str">
            <v>Dat0548</v>
          </cell>
        </row>
        <row r="931">
          <cell r="D931" t="str">
            <v>Dat0549</v>
          </cell>
        </row>
        <row r="932">
          <cell r="D932" t="str">
            <v>Dat0550</v>
          </cell>
        </row>
        <row r="933">
          <cell r="D933" t="str">
            <v>Dat0551</v>
          </cell>
        </row>
        <row r="934">
          <cell r="D934" t="str">
            <v>Dat0552</v>
          </cell>
        </row>
        <row r="935">
          <cell r="D935" t="str">
            <v>Dat0553</v>
          </cell>
        </row>
        <row r="936">
          <cell r="D936" t="str">
            <v>Dat0554</v>
          </cell>
        </row>
        <row r="937">
          <cell r="D937" t="str">
            <v>Dat0555</v>
          </cell>
        </row>
        <row r="938">
          <cell r="D938" t="str">
            <v>Dat0556</v>
          </cell>
        </row>
        <row r="939">
          <cell r="D939" t="str">
            <v>Dat0557</v>
          </cell>
        </row>
        <row r="940">
          <cell r="D940" t="str">
            <v>Dat0558</v>
          </cell>
        </row>
        <row r="941">
          <cell r="D941" t="str">
            <v>Dat0559</v>
          </cell>
        </row>
        <row r="942">
          <cell r="D942" t="str">
            <v>Dat0560</v>
          </cell>
        </row>
        <row r="943">
          <cell r="D943" t="str">
            <v>Dat0561</v>
          </cell>
        </row>
        <row r="944">
          <cell r="D944" t="str">
            <v>Dat0562</v>
          </cell>
        </row>
        <row r="945">
          <cell r="D945" t="str">
            <v>Dat0563</v>
          </cell>
        </row>
        <row r="946">
          <cell r="D946" t="str">
            <v>Dat0564</v>
          </cell>
        </row>
        <row r="947">
          <cell r="D947" t="str">
            <v>Dat0565</v>
          </cell>
        </row>
        <row r="948">
          <cell r="D948" t="str">
            <v>Dat0566</v>
          </cell>
        </row>
        <row r="949">
          <cell r="D949" t="str">
            <v>Dat0567</v>
          </cell>
        </row>
        <row r="950">
          <cell r="D950" t="str">
            <v>Dat0568</v>
          </cell>
        </row>
        <row r="951">
          <cell r="D951" t="str">
            <v>Dat0569</v>
          </cell>
        </row>
        <row r="952">
          <cell r="D952" t="str">
            <v>Dat0570</v>
          </cell>
        </row>
        <row r="953">
          <cell r="D953" t="str">
            <v>HD0381</v>
          </cell>
        </row>
        <row r="954">
          <cell r="D954" t="str">
            <v>HD0382</v>
          </cell>
        </row>
        <row r="955">
          <cell r="D955" t="str">
            <v>HD0383</v>
          </cell>
        </row>
        <row r="956">
          <cell r="D956" t="str">
            <v>HD0384</v>
          </cell>
        </row>
        <row r="957">
          <cell r="D957" t="str">
            <v>HD0385</v>
          </cell>
        </row>
        <row r="958">
          <cell r="D958" t="str">
            <v>HD0386</v>
          </cell>
        </row>
        <row r="959">
          <cell r="D959" t="str">
            <v>HD0387</v>
          </cell>
        </row>
        <row r="960">
          <cell r="D960" t="str">
            <v>HD0388</v>
          </cell>
        </row>
        <row r="961">
          <cell r="D961" t="str">
            <v>HD0389</v>
          </cell>
        </row>
        <row r="962">
          <cell r="D962" t="str">
            <v>HD0390</v>
          </cell>
        </row>
        <row r="963">
          <cell r="D963" t="str">
            <v>HD0391</v>
          </cell>
        </row>
        <row r="964">
          <cell r="D964" t="str">
            <v>HD0392</v>
          </cell>
        </row>
        <row r="965">
          <cell r="D965" t="str">
            <v>HD0393</v>
          </cell>
        </row>
        <row r="966">
          <cell r="D966" t="str">
            <v>HD0394</v>
          </cell>
        </row>
        <row r="967">
          <cell r="D967" t="str">
            <v>HD0395</v>
          </cell>
        </row>
        <row r="968">
          <cell r="D968" t="str">
            <v>HD0396</v>
          </cell>
        </row>
        <row r="969">
          <cell r="D969" t="str">
            <v>HD0397</v>
          </cell>
        </row>
        <row r="970">
          <cell r="D970" t="str">
            <v>Dat0571</v>
          </cell>
        </row>
        <row r="971">
          <cell r="D971" t="str">
            <v>Dat0572</v>
          </cell>
        </row>
        <row r="972">
          <cell r="D972" t="str">
            <v>Dat0573</v>
          </cell>
        </row>
        <row r="973">
          <cell r="D973" t="str">
            <v>Dat0574</v>
          </cell>
        </row>
        <row r="974">
          <cell r="D974" t="str">
            <v>Dat0575</v>
          </cell>
        </row>
        <row r="975">
          <cell r="D975" t="str">
            <v>Dat0576</v>
          </cell>
        </row>
        <row r="976">
          <cell r="D976" t="str">
            <v>Dat0577</v>
          </cell>
        </row>
        <row r="977">
          <cell r="D977" t="str">
            <v>Dat0578</v>
          </cell>
        </row>
        <row r="978">
          <cell r="D978" t="str">
            <v>Dat0579</v>
          </cell>
        </row>
        <row r="979">
          <cell r="D979" t="str">
            <v>Dat0580</v>
          </cell>
        </row>
        <row r="980">
          <cell r="D980" t="str">
            <v>Dat0581</v>
          </cell>
        </row>
        <row r="981">
          <cell r="D981" t="str">
            <v>Dat0582</v>
          </cell>
        </row>
        <row r="982">
          <cell r="D982" t="str">
            <v>Dat0583</v>
          </cell>
        </row>
        <row r="983">
          <cell r="D983" t="str">
            <v>Dat0584</v>
          </cell>
        </row>
        <row r="984">
          <cell r="D984" t="str">
            <v>Dat0585</v>
          </cell>
        </row>
        <row r="985">
          <cell r="D985" t="str">
            <v>Dat0586</v>
          </cell>
        </row>
        <row r="986">
          <cell r="D986" t="str">
            <v>Dat0587</v>
          </cell>
        </row>
        <row r="987">
          <cell r="D987" t="str">
            <v>Dat0588</v>
          </cell>
        </row>
        <row r="988">
          <cell r="D988" t="str">
            <v>Dat0589</v>
          </cell>
        </row>
        <row r="989">
          <cell r="D989" t="str">
            <v>Dat0590</v>
          </cell>
        </row>
        <row r="990">
          <cell r="D990" t="str">
            <v>Dat0591</v>
          </cell>
        </row>
        <row r="991">
          <cell r="D991" t="str">
            <v>Dat0592</v>
          </cell>
        </row>
        <row r="992">
          <cell r="D992" t="str">
            <v>Dat0593</v>
          </cell>
        </row>
        <row r="993">
          <cell r="D993" t="str">
            <v>Dat0594</v>
          </cell>
        </row>
        <row r="994">
          <cell r="D994" t="str">
            <v>Dat0595</v>
          </cell>
        </row>
        <row r="995">
          <cell r="D995" t="str">
            <v>Dat0596</v>
          </cell>
        </row>
        <row r="996">
          <cell r="D996" t="str">
            <v>Dat0597</v>
          </cell>
        </row>
        <row r="997">
          <cell r="D997" t="str">
            <v>Dat0598</v>
          </cell>
        </row>
        <row r="998">
          <cell r="D998" t="str">
            <v>Dat0599</v>
          </cell>
        </row>
        <row r="999">
          <cell r="D999" t="str">
            <v>Dat0600</v>
          </cell>
        </row>
        <row r="1000">
          <cell r="D1000" t="str">
            <v>Dat0601</v>
          </cell>
        </row>
        <row r="1001">
          <cell r="D1001" t="str">
            <v>Dat0602</v>
          </cell>
        </row>
        <row r="1002">
          <cell r="D1002" t="str">
            <v>Dat0603</v>
          </cell>
        </row>
        <row r="1003">
          <cell r="D1003" t="str">
            <v>Dat0604</v>
          </cell>
        </row>
        <row r="1004">
          <cell r="D1004" t="str">
            <v>Dat0605</v>
          </cell>
        </row>
        <row r="1005">
          <cell r="D1005" t="str">
            <v>Dat0606</v>
          </cell>
        </row>
        <row r="1006">
          <cell r="D1006" t="str">
            <v>Dat0607</v>
          </cell>
        </row>
        <row r="1007">
          <cell r="D1007" t="str">
            <v>Dat0608</v>
          </cell>
        </row>
        <row r="1008">
          <cell r="D1008" t="str">
            <v>Dat0609</v>
          </cell>
        </row>
        <row r="1009">
          <cell r="D1009" t="str">
            <v>Dat0610</v>
          </cell>
        </row>
        <row r="1010">
          <cell r="D1010" t="str">
            <v>Dat0611</v>
          </cell>
        </row>
        <row r="1011">
          <cell r="D1011" t="str">
            <v>Dat0612</v>
          </cell>
        </row>
        <row r="1012">
          <cell r="D1012" t="str">
            <v>Dat0613</v>
          </cell>
        </row>
        <row r="1013">
          <cell r="D1013" t="str">
            <v>Dat0614</v>
          </cell>
        </row>
        <row r="1014">
          <cell r="D1014" t="str">
            <v>Dat0615</v>
          </cell>
        </row>
        <row r="1015">
          <cell r="D1015" t="str">
            <v>Dat0616</v>
          </cell>
        </row>
        <row r="1016">
          <cell r="D1016" t="str">
            <v>Dat0617</v>
          </cell>
        </row>
        <row r="1017">
          <cell r="D1017" t="str">
            <v>Dat0618</v>
          </cell>
        </row>
        <row r="1018">
          <cell r="D1018" t="str">
            <v>Dat0619</v>
          </cell>
        </row>
        <row r="1019">
          <cell r="D1019" t="str">
            <v>Dat0620</v>
          </cell>
        </row>
        <row r="1020">
          <cell r="D1020" t="str">
            <v>Dat0621</v>
          </cell>
        </row>
        <row r="1021">
          <cell r="D1021" t="str">
            <v>Dat0622</v>
          </cell>
        </row>
        <row r="1022">
          <cell r="D1022" t="str">
            <v>Dat0623</v>
          </cell>
        </row>
        <row r="1023">
          <cell r="D1023" t="str">
            <v>Dat0624</v>
          </cell>
        </row>
        <row r="1024">
          <cell r="D1024" t="str">
            <v>Dat0625</v>
          </cell>
        </row>
        <row r="1025">
          <cell r="D1025" t="str">
            <v>Dat0626</v>
          </cell>
        </row>
        <row r="1026">
          <cell r="D1026" t="str">
            <v>Dat0627</v>
          </cell>
        </row>
        <row r="1027">
          <cell r="D1027" t="str">
            <v>Dat0628</v>
          </cell>
        </row>
        <row r="1028">
          <cell r="D1028" t="str">
            <v>Dat0629</v>
          </cell>
        </row>
        <row r="1029">
          <cell r="D1029" t="str">
            <v>Dat0630</v>
          </cell>
        </row>
        <row r="1030">
          <cell r="D1030" t="str">
            <v>Dat0631</v>
          </cell>
        </row>
        <row r="1031">
          <cell r="D1031" t="str">
            <v>Dat0632</v>
          </cell>
        </row>
        <row r="1032">
          <cell r="D1032" t="str">
            <v>Dat0633</v>
          </cell>
        </row>
        <row r="1033">
          <cell r="D1033" t="str">
            <v>Dat0634</v>
          </cell>
        </row>
        <row r="1034">
          <cell r="D1034" t="str">
            <v>Dat0635</v>
          </cell>
        </row>
        <row r="1035">
          <cell r="D1035" t="str">
            <v>Dat0636</v>
          </cell>
        </row>
        <row r="1036">
          <cell r="D1036" t="str">
            <v>Dat0637</v>
          </cell>
        </row>
        <row r="1037">
          <cell r="D1037" t="str">
            <v>Dat0638</v>
          </cell>
        </row>
        <row r="1038">
          <cell r="D1038" t="str">
            <v>Dat0639</v>
          </cell>
        </row>
        <row r="1039">
          <cell r="D1039" t="str">
            <v>Dat0640</v>
          </cell>
        </row>
        <row r="1040">
          <cell r="D1040" t="str">
            <v>Dat0641</v>
          </cell>
        </row>
        <row r="1041">
          <cell r="D1041" t="str">
            <v>Dat0642</v>
          </cell>
        </row>
        <row r="1042">
          <cell r="D1042" t="str">
            <v>Dat0643</v>
          </cell>
        </row>
        <row r="1043">
          <cell r="D1043" t="str">
            <v>Dat0644</v>
          </cell>
        </row>
        <row r="1044">
          <cell r="D1044" t="str">
            <v>Dat0645</v>
          </cell>
        </row>
        <row r="1045">
          <cell r="D1045" t="str">
            <v>Dat0646</v>
          </cell>
        </row>
        <row r="1046">
          <cell r="D1046" t="str">
            <v>Dat0647</v>
          </cell>
        </row>
        <row r="1047">
          <cell r="D1047" t="str">
            <v>Dat0648</v>
          </cell>
        </row>
        <row r="1048">
          <cell r="D1048" t="str">
            <v>Dat0649</v>
          </cell>
        </row>
        <row r="1049">
          <cell r="D1049" t="str">
            <v>Dat0650</v>
          </cell>
        </row>
        <row r="1050">
          <cell r="D1050" t="str">
            <v>Dat0651</v>
          </cell>
        </row>
        <row r="1051">
          <cell r="D1051" t="str">
            <v>Dat0652</v>
          </cell>
        </row>
        <row r="1052">
          <cell r="D1052" t="str">
            <v>Dat0653</v>
          </cell>
        </row>
        <row r="1053">
          <cell r="D1053" t="str">
            <v>Dat0654</v>
          </cell>
        </row>
        <row r="1054">
          <cell r="D1054" t="str">
            <v>Dat0655</v>
          </cell>
        </row>
        <row r="1055">
          <cell r="D1055" t="str">
            <v>Dat0656</v>
          </cell>
        </row>
        <row r="1056">
          <cell r="D1056" t="str">
            <v>Dat0657</v>
          </cell>
        </row>
        <row r="1057">
          <cell r="D1057" t="str">
            <v>Dat0658</v>
          </cell>
        </row>
        <row r="1058">
          <cell r="D1058" t="str">
            <v>Dat0659</v>
          </cell>
        </row>
        <row r="1059">
          <cell r="D1059" t="str">
            <v>Dat0660</v>
          </cell>
        </row>
        <row r="1060">
          <cell r="D1060" t="str">
            <v>Dat0661</v>
          </cell>
        </row>
        <row r="1061">
          <cell r="D1061" t="str">
            <v>Dat0662</v>
          </cell>
        </row>
        <row r="1062">
          <cell r="D1062" t="str">
            <v>Dat0663</v>
          </cell>
        </row>
        <row r="1063">
          <cell r="D1063" t="str">
            <v>Dat0664</v>
          </cell>
        </row>
        <row r="1064">
          <cell r="D1064" t="str">
            <v>Dat0665</v>
          </cell>
        </row>
        <row r="1065">
          <cell r="D1065" t="str">
            <v>Dat0666</v>
          </cell>
        </row>
        <row r="1066">
          <cell r="D1066" t="str">
            <v>Dat0667</v>
          </cell>
        </row>
        <row r="1067">
          <cell r="D1067" t="str">
            <v>Dat0668</v>
          </cell>
        </row>
        <row r="1068">
          <cell r="D1068" t="str">
            <v>Dat0669</v>
          </cell>
        </row>
        <row r="1069">
          <cell r="D1069" t="str">
            <v>Dat0670</v>
          </cell>
        </row>
        <row r="1070">
          <cell r="D1070" t="str">
            <v>Dat0671</v>
          </cell>
        </row>
        <row r="1071">
          <cell r="D1071" t="str">
            <v>Dat0672</v>
          </cell>
        </row>
        <row r="1072">
          <cell r="D1072" t="str">
            <v>Dat0673</v>
          </cell>
        </row>
        <row r="1073">
          <cell r="D1073" t="str">
            <v>Dat0674</v>
          </cell>
        </row>
        <row r="1074">
          <cell r="D1074" t="str">
            <v>Dat0675</v>
          </cell>
        </row>
        <row r="1075">
          <cell r="D1075" t="str">
            <v>Dat0676</v>
          </cell>
        </row>
        <row r="1076">
          <cell r="D1076" t="str">
            <v>Dat0677</v>
          </cell>
        </row>
        <row r="1077">
          <cell r="D1077" t="str">
            <v>Dat0678</v>
          </cell>
        </row>
        <row r="1078">
          <cell r="D1078" t="str">
            <v>Dat0679</v>
          </cell>
        </row>
        <row r="1079">
          <cell r="D1079" t="str">
            <v>Dat0680</v>
          </cell>
        </row>
        <row r="1080">
          <cell r="D1080" t="str">
            <v>Dat0681</v>
          </cell>
        </row>
        <row r="1081">
          <cell r="D1081" t="str">
            <v>Dat0682</v>
          </cell>
        </row>
        <row r="1082">
          <cell r="D1082" t="str">
            <v>Dat0683</v>
          </cell>
        </row>
        <row r="1083">
          <cell r="D1083" t="str">
            <v>Dat0684</v>
          </cell>
        </row>
        <row r="1084">
          <cell r="D1084" t="str">
            <v>Dat0685</v>
          </cell>
        </row>
        <row r="1085">
          <cell r="D1085" t="str">
            <v>Dat0686</v>
          </cell>
        </row>
        <row r="1086">
          <cell r="D1086" t="str">
            <v>Dat0687</v>
          </cell>
        </row>
        <row r="1087">
          <cell r="D1087" t="str">
            <v>Dat0688</v>
          </cell>
        </row>
        <row r="1088">
          <cell r="D1088" t="str">
            <v>Dat0689</v>
          </cell>
        </row>
        <row r="1089">
          <cell r="D1089" t="str">
            <v>Dat0690</v>
          </cell>
        </row>
        <row r="1090">
          <cell r="D1090" t="str">
            <v>Dat0691</v>
          </cell>
        </row>
        <row r="1091">
          <cell r="D1091" t="str">
            <v>Dat0692</v>
          </cell>
        </row>
        <row r="1092">
          <cell r="D1092" t="str">
            <v>Dat0693</v>
          </cell>
        </row>
        <row r="1093">
          <cell r="D1093" t="str">
            <v>Dat0694</v>
          </cell>
        </row>
        <row r="1094">
          <cell r="D1094" t="str">
            <v>Dat0695</v>
          </cell>
        </row>
        <row r="1095">
          <cell r="D1095" t="str">
            <v>Dat0696</v>
          </cell>
        </row>
        <row r="1096">
          <cell r="D1096" t="str">
            <v>Dat0697</v>
          </cell>
        </row>
        <row r="1097">
          <cell r="D1097" t="str">
            <v>Dat0698</v>
          </cell>
        </row>
        <row r="1098">
          <cell r="D1098" t="str">
            <v>Dat0699</v>
          </cell>
        </row>
        <row r="1099">
          <cell r="D1099" t="str">
            <v>Dat0700</v>
          </cell>
        </row>
        <row r="1100">
          <cell r="D1100" t="str">
            <v>Dat0701</v>
          </cell>
        </row>
        <row r="1101">
          <cell r="D1101" t="str">
            <v>Dat0702</v>
          </cell>
        </row>
        <row r="1102">
          <cell r="D1102" t="str">
            <v>Dat0703</v>
          </cell>
        </row>
        <row r="1103">
          <cell r="D1103" t="str">
            <v>Dat0704</v>
          </cell>
        </row>
        <row r="1104">
          <cell r="D1104" t="str">
            <v>Dat0705</v>
          </cell>
        </row>
        <row r="1105">
          <cell r="D1105" t="str">
            <v>Dat0706</v>
          </cell>
        </row>
        <row r="1106">
          <cell r="D1106" t="str">
            <v>Dat0707</v>
          </cell>
        </row>
        <row r="1107">
          <cell r="D1107" t="str">
            <v>Dat0708</v>
          </cell>
        </row>
        <row r="1108">
          <cell r="D1108" t="str">
            <v>Dat0709</v>
          </cell>
        </row>
        <row r="1109">
          <cell r="D1109" t="str">
            <v>Dat0710</v>
          </cell>
        </row>
        <row r="1110">
          <cell r="D1110" t="str">
            <v>Dat0711</v>
          </cell>
        </row>
        <row r="1111">
          <cell r="D1111" t="str">
            <v>Dat0712</v>
          </cell>
        </row>
        <row r="1112">
          <cell r="D1112" t="str">
            <v>Dat0713</v>
          </cell>
        </row>
        <row r="1113">
          <cell r="D1113" t="str">
            <v>Dat0714</v>
          </cell>
        </row>
        <row r="1114">
          <cell r="D1114" t="str">
            <v>Dat0715</v>
          </cell>
        </row>
        <row r="1115">
          <cell r="D1115" t="str">
            <v>Dat0716</v>
          </cell>
        </row>
        <row r="1116">
          <cell r="D1116" t="str">
            <v>Dat0717</v>
          </cell>
        </row>
        <row r="1117">
          <cell r="D1117" t="str">
            <v>Dat0718</v>
          </cell>
        </row>
        <row r="1118">
          <cell r="D1118" t="str">
            <v>Dat0719</v>
          </cell>
        </row>
        <row r="1119">
          <cell r="D1119" t="str">
            <v>Dat0720</v>
          </cell>
        </row>
        <row r="1120">
          <cell r="D1120" t="str">
            <v>Dat0721</v>
          </cell>
        </row>
        <row r="1121">
          <cell r="D1121" t="str">
            <v>Dat0722</v>
          </cell>
        </row>
        <row r="1122">
          <cell r="D1122" t="str">
            <v>Dat0723</v>
          </cell>
        </row>
        <row r="1123">
          <cell r="D1123" t="str">
            <v>Dat0724</v>
          </cell>
        </row>
        <row r="1124">
          <cell r="D1124" t="str">
            <v>Dat0725</v>
          </cell>
        </row>
        <row r="1125">
          <cell r="D1125" t="str">
            <v>Dat0726</v>
          </cell>
        </row>
        <row r="1126">
          <cell r="D1126" t="str">
            <v>Dat0727</v>
          </cell>
        </row>
        <row r="1127">
          <cell r="D1127" t="str">
            <v>Dat0728</v>
          </cell>
        </row>
        <row r="1128">
          <cell r="D1128" t="str">
            <v>Dat0729</v>
          </cell>
        </row>
        <row r="1129">
          <cell r="D1129" t="str">
            <v>Dat0730</v>
          </cell>
        </row>
        <row r="1130">
          <cell r="D1130" t="str">
            <v>Dat0731</v>
          </cell>
        </row>
        <row r="1131">
          <cell r="D1131" t="str">
            <v>Dat0732</v>
          </cell>
        </row>
        <row r="1132">
          <cell r="D1132" t="str">
            <v>Dat0733</v>
          </cell>
        </row>
        <row r="1133">
          <cell r="D1133" t="str">
            <v>Dat0734</v>
          </cell>
        </row>
        <row r="1134">
          <cell r="D1134" t="str">
            <v>Dat0735</v>
          </cell>
        </row>
        <row r="1135">
          <cell r="D1135" t="str">
            <v>Dat0736</v>
          </cell>
        </row>
        <row r="1136">
          <cell r="D1136" t="str">
            <v>Dat0737</v>
          </cell>
        </row>
        <row r="1137">
          <cell r="D1137" t="str">
            <v>Dat0738</v>
          </cell>
        </row>
        <row r="1138">
          <cell r="D1138" t="str">
            <v>Dat0739</v>
          </cell>
        </row>
        <row r="1139">
          <cell r="D1139" t="str">
            <v>Dat0740</v>
          </cell>
        </row>
        <row r="1140">
          <cell r="D1140" t="str">
            <v>Dat0741</v>
          </cell>
        </row>
        <row r="1141">
          <cell r="D1141" t="str">
            <v>Dat0742</v>
          </cell>
        </row>
        <row r="1142">
          <cell r="D1142" t="str">
            <v>Dat0743</v>
          </cell>
        </row>
        <row r="1143">
          <cell r="D1143" t="str">
            <v>Dat0744</v>
          </cell>
        </row>
        <row r="1144">
          <cell r="D1144" t="str">
            <v>Dat0745</v>
          </cell>
        </row>
        <row r="1145">
          <cell r="D1145" t="str">
            <v>Dat0746</v>
          </cell>
        </row>
        <row r="1146">
          <cell r="D1146" t="str">
            <v>Dat0747</v>
          </cell>
        </row>
        <row r="1147">
          <cell r="D1147" t="str">
            <v>Dat0748</v>
          </cell>
        </row>
        <row r="1148">
          <cell r="D1148" t="str">
            <v>Dat0749</v>
          </cell>
        </row>
        <row r="1149">
          <cell r="D1149" t="str">
            <v>Dat0750</v>
          </cell>
        </row>
        <row r="1150">
          <cell r="D1150" t="str">
            <v>Dat0751</v>
          </cell>
        </row>
        <row r="1151">
          <cell r="D1151" t="str">
            <v>Dat0752</v>
          </cell>
        </row>
        <row r="1152">
          <cell r="D1152" t="str">
            <v>Dat0753</v>
          </cell>
        </row>
        <row r="1153">
          <cell r="D1153" t="str">
            <v>Dat0754</v>
          </cell>
        </row>
        <row r="1154">
          <cell r="D1154" t="str">
            <v>Dat0755</v>
          </cell>
        </row>
        <row r="1155">
          <cell r="D1155" t="str">
            <v>Dat0756</v>
          </cell>
        </row>
        <row r="1156">
          <cell r="D1156" t="str">
            <v>Dat0757</v>
          </cell>
        </row>
        <row r="1157">
          <cell r="D1157" t="str">
            <v>Dat0758</v>
          </cell>
        </row>
        <row r="1158">
          <cell r="D1158" t="str">
            <v>Dat0759</v>
          </cell>
        </row>
        <row r="1159">
          <cell r="D1159" t="str">
            <v>Dat0760</v>
          </cell>
        </row>
        <row r="1160">
          <cell r="D1160" t="str">
            <v>Dat0761</v>
          </cell>
        </row>
        <row r="1161">
          <cell r="D1161" t="str">
            <v>Dat0762</v>
          </cell>
        </row>
        <row r="1162">
          <cell r="D1162" t="str">
            <v>Dat0763</v>
          </cell>
        </row>
        <row r="1163">
          <cell r="D1163" t="str">
            <v>Dat0764</v>
          </cell>
        </row>
        <row r="1164">
          <cell r="D1164" t="str">
            <v>Dat0765</v>
          </cell>
        </row>
        <row r="1165">
          <cell r="D1165" t="str">
            <v>Dat0766</v>
          </cell>
        </row>
        <row r="1166">
          <cell r="D1166" t="str">
            <v>Dat0767</v>
          </cell>
        </row>
        <row r="1167">
          <cell r="D1167" t="str">
            <v>Dat0768</v>
          </cell>
        </row>
        <row r="1168">
          <cell r="D1168" t="str">
            <v>Dat0769</v>
          </cell>
        </row>
        <row r="1169">
          <cell r="D1169" t="str">
            <v>Dat0770</v>
          </cell>
        </row>
        <row r="1170">
          <cell r="D1170" t="str">
            <v>Dat0771</v>
          </cell>
        </row>
        <row r="1171">
          <cell r="D1171" t="str">
            <v>Dat0772</v>
          </cell>
        </row>
        <row r="1172">
          <cell r="D1172" t="str">
            <v>Dat0773</v>
          </cell>
        </row>
        <row r="1173">
          <cell r="D1173" t="str">
            <v>Dat0774</v>
          </cell>
        </row>
        <row r="1174">
          <cell r="D1174" t="str">
            <v>Dat0775</v>
          </cell>
        </row>
        <row r="1175">
          <cell r="D1175" t="str">
            <v>Dat0776</v>
          </cell>
        </row>
        <row r="1176">
          <cell r="D1176" t="str">
            <v>Dat0777</v>
          </cell>
        </row>
        <row r="1177">
          <cell r="D1177" t="str">
            <v>Dat0778</v>
          </cell>
        </row>
        <row r="1178">
          <cell r="D1178" t="str">
            <v>Dat0779</v>
          </cell>
        </row>
        <row r="1179">
          <cell r="D1179" t="str">
            <v>Dat0780</v>
          </cell>
        </row>
        <row r="1180">
          <cell r="D1180" t="str">
            <v>Dat0781</v>
          </cell>
        </row>
        <row r="1181">
          <cell r="D1181" t="str">
            <v>Dat0782</v>
          </cell>
        </row>
        <row r="1182">
          <cell r="D1182" t="str">
            <v>Dat0783</v>
          </cell>
        </row>
        <row r="1183">
          <cell r="D1183" t="str">
            <v>Dat0784</v>
          </cell>
        </row>
        <row r="1184">
          <cell r="D1184" t="str">
            <v>Dat0785</v>
          </cell>
        </row>
        <row r="1185">
          <cell r="D1185" t="str">
            <v>Dat0786</v>
          </cell>
        </row>
        <row r="1186">
          <cell r="D1186" t="str">
            <v>Dat0787</v>
          </cell>
        </row>
        <row r="1187">
          <cell r="D1187" t="str">
            <v>Dat0788</v>
          </cell>
        </row>
        <row r="1188">
          <cell r="D1188" t="str">
            <v>Dat0789</v>
          </cell>
        </row>
        <row r="1189">
          <cell r="D1189" t="str">
            <v>Dat0790</v>
          </cell>
        </row>
        <row r="1190">
          <cell r="D1190" t="str">
            <v>Dat0791</v>
          </cell>
        </row>
        <row r="1191">
          <cell r="D1191" t="str">
            <v>Dat0792</v>
          </cell>
        </row>
        <row r="1192">
          <cell r="D1192" t="str">
            <v>Dat0793</v>
          </cell>
        </row>
        <row r="1193">
          <cell r="D1193" t="str">
            <v>Dat0794</v>
          </cell>
        </row>
        <row r="1194">
          <cell r="D1194" t="str">
            <v>Dat0795</v>
          </cell>
        </row>
        <row r="1195">
          <cell r="D1195" t="str">
            <v>Dat0796</v>
          </cell>
        </row>
        <row r="1196">
          <cell r="D1196" t="str">
            <v>Dat0797</v>
          </cell>
        </row>
        <row r="1197">
          <cell r="D1197" t="str">
            <v>Dat0798</v>
          </cell>
        </row>
        <row r="1198">
          <cell r="D1198" t="str">
            <v>Dat0799</v>
          </cell>
        </row>
        <row r="1199">
          <cell r="D1199" t="str">
            <v>Dat0800</v>
          </cell>
        </row>
        <row r="1200">
          <cell r="D1200" t="str">
            <v>Dat0801</v>
          </cell>
        </row>
        <row r="1201">
          <cell r="D1201" t="str">
            <v>Dat0802</v>
          </cell>
        </row>
        <row r="1202">
          <cell r="D1202" t="str">
            <v>Dat0803</v>
          </cell>
        </row>
        <row r="1203">
          <cell r="D1203" t="str">
            <v>Dat0804</v>
          </cell>
        </row>
        <row r="1204">
          <cell r="D1204" t="str">
            <v>Dat0805</v>
          </cell>
        </row>
        <row r="1205">
          <cell r="D1205" t="str">
            <v>Dat0806</v>
          </cell>
        </row>
        <row r="1206">
          <cell r="D1206" t="str">
            <v>Dat0807</v>
          </cell>
        </row>
        <row r="1207">
          <cell r="D1207" t="str">
            <v>Dat0808</v>
          </cell>
        </row>
        <row r="1208">
          <cell r="D1208" t="str">
            <v>Dat0809</v>
          </cell>
        </row>
        <row r="1209">
          <cell r="D1209" t="str">
            <v>Dat0810</v>
          </cell>
        </row>
        <row r="1210">
          <cell r="D1210" t="str">
            <v>Dat0811</v>
          </cell>
        </row>
        <row r="1211">
          <cell r="D1211" t="str">
            <v>Dat0812</v>
          </cell>
        </row>
        <row r="1212">
          <cell r="D1212" t="str">
            <v>Dat0813</v>
          </cell>
        </row>
        <row r="1213">
          <cell r="D1213" t="str">
            <v>Dat0814</v>
          </cell>
        </row>
        <row r="1214">
          <cell r="D1214" t="str">
            <v>Dat0815</v>
          </cell>
        </row>
        <row r="1215">
          <cell r="D1215" t="str">
            <v>Dat0816</v>
          </cell>
        </row>
        <row r="1216">
          <cell r="D1216" t="str">
            <v>Dat0817</v>
          </cell>
        </row>
        <row r="1217">
          <cell r="D1217" t="str">
            <v>Dat0818</v>
          </cell>
        </row>
        <row r="1218">
          <cell r="D1218" t="str">
            <v>Dat0819</v>
          </cell>
        </row>
        <row r="1219">
          <cell r="D1219" t="str">
            <v>Dat0820</v>
          </cell>
        </row>
        <row r="1220">
          <cell r="D1220" t="str">
            <v>Dat0821</v>
          </cell>
        </row>
        <row r="1221">
          <cell r="D1221" t="str">
            <v>Dat0822</v>
          </cell>
        </row>
        <row r="1222">
          <cell r="D1222" t="str">
            <v>Dat0823</v>
          </cell>
        </row>
        <row r="1223">
          <cell r="D1223" t="str">
            <v>Dat0824</v>
          </cell>
        </row>
        <row r="1224">
          <cell r="D1224" t="str">
            <v>Dat0825</v>
          </cell>
        </row>
        <row r="1225">
          <cell r="D1225" t="str">
            <v>Dat0826</v>
          </cell>
        </row>
        <row r="1226">
          <cell r="D1226" t="str">
            <v>Dat0827</v>
          </cell>
        </row>
        <row r="1227">
          <cell r="D1227" t="str">
            <v>Dat0828</v>
          </cell>
        </row>
        <row r="1228">
          <cell r="D1228" t="str">
            <v>Dat0829</v>
          </cell>
        </row>
        <row r="1229">
          <cell r="D1229" t="str">
            <v>Dat0830</v>
          </cell>
        </row>
        <row r="1230">
          <cell r="D1230" t="str">
            <v>Dat0831</v>
          </cell>
        </row>
        <row r="1231">
          <cell r="D1231" t="str">
            <v>Dat0832</v>
          </cell>
        </row>
        <row r="1232">
          <cell r="D1232" t="str">
            <v>Dat0833</v>
          </cell>
        </row>
        <row r="1233">
          <cell r="D1233" t="str">
            <v>Dat0834</v>
          </cell>
        </row>
        <row r="1234">
          <cell r="D1234" t="str">
            <v>Dat0835</v>
          </cell>
        </row>
        <row r="1235">
          <cell r="D1235" t="str">
            <v>Dat0836</v>
          </cell>
        </row>
        <row r="1236">
          <cell r="D1236" t="str">
            <v>Dat0837</v>
          </cell>
        </row>
        <row r="1237">
          <cell r="D1237" t="str">
            <v>Dat0838</v>
          </cell>
        </row>
        <row r="1238">
          <cell r="D1238" t="str">
            <v>Dat0839</v>
          </cell>
        </row>
        <row r="1239">
          <cell r="D1239" t="str">
            <v>Dat0840</v>
          </cell>
        </row>
        <row r="1240">
          <cell r="D1240" t="str">
            <v>PX0001</v>
          </cell>
        </row>
        <row r="1241">
          <cell r="D1241" t="str">
            <v>PX0002</v>
          </cell>
        </row>
        <row r="1242">
          <cell r="D1242" t="str">
            <v>PX0003</v>
          </cell>
        </row>
        <row r="1243">
          <cell r="D1243" t="str">
            <v>PX0004</v>
          </cell>
        </row>
        <row r="1244">
          <cell r="D1244" t="str">
            <v>PX0005</v>
          </cell>
        </row>
        <row r="1245">
          <cell r="D1245" t="str">
            <v>PX0006</v>
          </cell>
        </row>
        <row r="1246">
          <cell r="D1246" t="str">
            <v>PX0007</v>
          </cell>
        </row>
        <row r="1247">
          <cell r="D1247" t="str">
            <v>PX0008</v>
          </cell>
        </row>
        <row r="1248">
          <cell r="D1248" t="str">
            <v>PX0009</v>
          </cell>
        </row>
        <row r="1249">
          <cell r="D1249" t="str">
            <v>PX0010</v>
          </cell>
        </row>
        <row r="1250">
          <cell r="D1250" t="str">
            <v>PX0011</v>
          </cell>
        </row>
        <row r="1251">
          <cell r="D1251" t="str">
            <v>PX0012</v>
          </cell>
        </row>
        <row r="1252">
          <cell r="D1252" t="str">
            <v>PX0013</v>
          </cell>
        </row>
        <row r="1253">
          <cell r="D1253" t="str">
            <v>PX0014</v>
          </cell>
        </row>
        <row r="1254">
          <cell r="D1254" t="str">
            <v>PX0015</v>
          </cell>
        </row>
        <row r="1255">
          <cell r="D1255" t="str">
            <v>PX0016</v>
          </cell>
        </row>
        <row r="1256">
          <cell r="D1256" t="str">
            <v>PX0017</v>
          </cell>
        </row>
        <row r="1257">
          <cell r="D1257" t="str">
            <v>PX0018</v>
          </cell>
        </row>
        <row r="1258">
          <cell r="D1258" t="str">
            <v>NAP0001</v>
          </cell>
        </row>
        <row r="1259">
          <cell r="D1259" t="str">
            <v>NAP0002</v>
          </cell>
        </row>
        <row r="1260">
          <cell r="D1260" t="str">
            <v>NAP0003</v>
          </cell>
        </row>
        <row r="1261">
          <cell r="D1261" t="str">
            <v>NAP0004</v>
          </cell>
        </row>
        <row r="1262">
          <cell r="D1262" t="str">
            <v>NAP0005</v>
          </cell>
        </row>
        <row r="1263">
          <cell r="D1263" t="str">
            <v>NAP0006</v>
          </cell>
        </row>
        <row r="1264">
          <cell r="D1264" t="str">
            <v>NAP0007</v>
          </cell>
        </row>
        <row r="1265">
          <cell r="D1265" t="str">
            <v>NAP0008</v>
          </cell>
        </row>
        <row r="1266">
          <cell r="D1266" t="str">
            <v>NAP0009</v>
          </cell>
        </row>
        <row r="1267">
          <cell r="D1267" t="str">
            <v>NAP0010</v>
          </cell>
        </row>
        <row r="1268">
          <cell r="D1268" t="str">
            <v>NAP0011</v>
          </cell>
        </row>
        <row r="1269">
          <cell r="D1269" t="str">
            <v>NAP0012</v>
          </cell>
        </row>
        <row r="1270">
          <cell r="D1270" t="str">
            <v>NAP0013</v>
          </cell>
        </row>
        <row r="1271">
          <cell r="D1271" t="str">
            <v>NAP0014</v>
          </cell>
        </row>
        <row r="1272">
          <cell r="D1272" t="str">
            <v>NAP0015</v>
          </cell>
        </row>
        <row r="1273">
          <cell r="D1273" t="str">
            <v>NAP0016</v>
          </cell>
        </row>
        <row r="1274">
          <cell r="D1274" t="str">
            <v>NAP0017</v>
          </cell>
        </row>
        <row r="1275">
          <cell r="D1275" t="str">
            <v>NAP0018</v>
          </cell>
        </row>
        <row r="1276">
          <cell r="D1276" t="str">
            <v>NAP0019</v>
          </cell>
        </row>
        <row r="1277">
          <cell r="D1277" t="str">
            <v>NAP0020</v>
          </cell>
        </row>
        <row r="1278">
          <cell r="D1278" t="str">
            <v>NAP0021</v>
          </cell>
        </row>
        <row r="1279">
          <cell r="D1279" t="str">
            <v>NAP0022</v>
          </cell>
        </row>
        <row r="1280">
          <cell r="D1280" t="str">
            <v>NAP0023</v>
          </cell>
        </row>
        <row r="1281">
          <cell r="D1281" t="str">
            <v>NAP0024</v>
          </cell>
        </row>
        <row r="1282">
          <cell r="D1282" t="str">
            <v>NAP0025</v>
          </cell>
        </row>
        <row r="1283">
          <cell r="D1283" t="str">
            <v>NAP0026</v>
          </cell>
        </row>
        <row r="1284">
          <cell r="D1284" t="str">
            <v>NAP0027</v>
          </cell>
        </row>
        <row r="1285">
          <cell r="D1285" t="str">
            <v>NAP0028</v>
          </cell>
        </row>
        <row r="1286">
          <cell r="D1286" t="str">
            <v>NAP0029</v>
          </cell>
        </row>
        <row r="1287">
          <cell r="D1287" t="str">
            <v>NAP0030</v>
          </cell>
        </row>
        <row r="1288">
          <cell r="D1288" t="str">
            <v>NAP0031</v>
          </cell>
        </row>
        <row r="1289">
          <cell r="D1289" t="str">
            <v>NAP0032</v>
          </cell>
        </row>
        <row r="1290">
          <cell r="D1290" t="str">
            <v>NAP0033</v>
          </cell>
        </row>
        <row r="1291">
          <cell r="D1291" t="str">
            <v>NAP0034</v>
          </cell>
        </row>
        <row r="1292">
          <cell r="D1292" t="str">
            <v>NAP0035</v>
          </cell>
        </row>
        <row r="1293">
          <cell r="D1293" t="str">
            <v>NAP0036</v>
          </cell>
        </row>
        <row r="1294">
          <cell r="D1294" t="str">
            <v>NAP0037</v>
          </cell>
        </row>
        <row r="1295">
          <cell r="D1295" t="str">
            <v>NAP0038</v>
          </cell>
        </row>
        <row r="1296">
          <cell r="D1296" t="str">
            <v>NAP0039</v>
          </cell>
        </row>
        <row r="1297">
          <cell r="D1297" t="str">
            <v>NAP0040</v>
          </cell>
        </row>
        <row r="1298">
          <cell r="D1298" t="str">
            <v>Dat0841</v>
          </cell>
        </row>
        <row r="1299">
          <cell r="D1299" t="str">
            <v>Dat0842</v>
          </cell>
        </row>
        <row r="1300">
          <cell r="D1300" t="str">
            <v>Dat0843</v>
          </cell>
        </row>
        <row r="1301">
          <cell r="D1301" t="str">
            <v>Dat0844</v>
          </cell>
        </row>
        <row r="1302">
          <cell r="D1302" t="str">
            <v>Dat0845</v>
          </cell>
        </row>
        <row r="1303">
          <cell r="D1303" t="str">
            <v>Dat0846</v>
          </cell>
        </row>
        <row r="1304">
          <cell r="D1304" t="str">
            <v>Dat0847</v>
          </cell>
        </row>
        <row r="1305">
          <cell r="D1305" t="str">
            <v>Dat0848</v>
          </cell>
        </row>
        <row r="1306">
          <cell r="D1306" t="str">
            <v>Dat0849</v>
          </cell>
        </row>
        <row r="1307">
          <cell r="D1307" t="str">
            <v>Dat0850</v>
          </cell>
        </row>
        <row r="1308">
          <cell r="D1308" t="str">
            <v>JIN0001</v>
          </cell>
        </row>
        <row r="1309">
          <cell r="D1309" t="str">
            <v>JIN0002</v>
          </cell>
        </row>
        <row r="1310">
          <cell r="D1310" t="str">
            <v>JIN0003</v>
          </cell>
        </row>
        <row r="1311">
          <cell r="D1311" t="str">
            <v>JIN0004</v>
          </cell>
        </row>
        <row r="1312">
          <cell r="D1312" t="str">
            <v>JIN0005</v>
          </cell>
        </row>
        <row r="1313">
          <cell r="D1313" t="str">
            <v>JIN0006</v>
          </cell>
        </row>
        <row r="1314">
          <cell r="D1314" t="str">
            <v>JIN0007</v>
          </cell>
        </row>
        <row r="1315">
          <cell r="D1315" t="str">
            <v>JIN0008</v>
          </cell>
        </row>
        <row r="1316">
          <cell r="D1316" t="str">
            <v>JIN0009</v>
          </cell>
        </row>
        <row r="1317">
          <cell r="D1317" t="str">
            <v>JIN0010</v>
          </cell>
        </row>
        <row r="1318">
          <cell r="D1318" t="str">
            <v>JIN0011</v>
          </cell>
        </row>
        <row r="1319">
          <cell r="D1319" t="str">
            <v>JIN0012</v>
          </cell>
        </row>
        <row r="1320">
          <cell r="D1320" t="str">
            <v>JIN0013</v>
          </cell>
        </row>
        <row r="1321">
          <cell r="D1321" t="str">
            <v>JIN0014</v>
          </cell>
        </row>
        <row r="1322">
          <cell r="D1322" t="str">
            <v>JIN0015</v>
          </cell>
        </row>
        <row r="1323">
          <cell r="D1323" t="str">
            <v>JIN0016</v>
          </cell>
        </row>
        <row r="1324">
          <cell r="D1324" t="str">
            <v>JIN0017</v>
          </cell>
        </row>
        <row r="1325">
          <cell r="D1325" t="str">
            <v>JIN0018</v>
          </cell>
        </row>
        <row r="1326">
          <cell r="D1326" t="str">
            <v>JIN0019</v>
          </cell>
        </row>
        <row r="1327">
          <cell r="D1327" t="str">
            <v>JIN0020</v>
          </cell>
        </row>
        <row r="1328">
          <cell r="D1328" t="str">
            <v>Dat0851</v>
          </cell>
        </row>
        <row r="1329">
          <cell r="D1329" t="str">
            <v>Dat0852</v>
          </cell>
        </row>
        <row r="1330">
          <cell r="D1330" t="str">
            <v>Dat0853</v>
          </cell>
        </row>
        <row r="1331">
          <cell r="D1331" t="str">
            <v>Dat0854</v>
          </cell>
        </row>
        <row r="1332">
          <cell r="D1332" t="str">
            <v>Dat0855</v>
          </cell>
        </row>
        <row r="1333">
          <cell r="D1333" t="str">
            <v>Dat0856</v>
          </cell>
        </row>
        <row r="1334">
          <cell r="D1334" t="str">
            <v>Dat0857</v>
          </cell>
        </row>
        <row r="1335">
          <cell r="D1335" t="str">
            <v>Dat0858</v>
          </cell>
        </row>
        <row r="1336">
          <cell r="D1336" t="str">
            <v>Dat0859</v>
          </cell>
        </row>
        <row r="1337">
          <cell r="D1337" t="str">
            <v>Dat0860</v>
          </cell>
        </row>
        <row r="1338">
          <cell r="D1338" t="str">
            <v>Dat0861</v>
          </cell>
        </row>
        <row r="1339">
          <cell r="D1339" t="str">
            <v>Dat0862</v>
          </cell>
        </row>
        <row r="1340">
          <cell r="D1340" t="str">
            <v>Dat0863</v>
          </cell>
        </row>
        <row r="1341">
          <cell r="D1341" t="str">
            <v>Dat0864</v>
          </cell>
        </row>
        <row r="1342">
          <cell r="D1342" t="str">
            <v>Dat0865</v>
          </cell>
        </row>
        <row r="1343">
          <cell r="D1343" t="str">
            <v>Dat0866</v>
          </cell>
        </row>
        <row r="1344">
          <cell r="D1344" t="str">
            <v>Dat0867</v>
          </cell>
        </row>
        <row r="1345">
          <cell r="D1345" t="str">
            <v>Dat0868</v>
          </cell>
        </row>
        <row r="1346">
          <cell r="D1346" t="str">
            <v>Dat0869</v>
          </cell>
        </row>
        <row r="1347">
          <cell r="D1347" t="str">
            <v>Dat0870</v>
          </cell>
        </row>
        <row r="1348">
          <cell r="D1348" t="str">
            <v>Dat0871</v>
          </cell>
        </row>
        <row r="1349">
          <cell r="D1349" t="str">
            <v>Dat0872</v>
          </cell>
        </row>
        <row r="1350">
          <cell r="D1350" t="str">
            <v>Dat0873</v>
          </cell>
        </row>
        <row r="1351">
          <cell r="D1351" t="str">
            <v>Dat0874</v>
          </cell>
        </row>
        <row r="1352">
          <cell r="D1352" t="str">
            <v>Dat0875</v>
          </cell>
        </row>
        <row r="1353">
          <cell r="D1353" t="str">
            <v>Dat0876</v>
          </cell>
        </row>
        <row r="1354">
          <cell r="D1354" t="str">
            <v>Dat0877</v>
          </cell>
        </row>
        <row r="1355">
          <cell r="D1355" t="str">
            <v>Dat0878</v>
          </cell>
        </row>
        <row r="1356">
          <cell r="D1356" t="str">
            <v>Dat0879</v>
          </cell>
        </row>
        <row r="1357">
          <cell r="D1357" t="str">
            <v>Dat0880</v>
          </cell>
        </row>
        <row r="1358">
          <cell r="D1358" t="str">
            <v>Dat0881</v>
          </cell>
        </row>
        <row r="1359">
          <cell r="D1359" t="str">
            <v>Dat0882</v>
          </cell>
        </row>
        <row r="1360">
          <cell r="D1360" t="str">
            <v>Dat0883</v>
          </cell>
        </row>
        <row r="1361">
          <cell r="D1361" t="str">
            <v>Dat0884</v>
          </cell>
        </row>
        <row r="1362">
          <cell r="D1362" t="str">
            <v>Dat0885</v>
          </cell>
        </row>
        <row r="1363">
          <cell r="D1363" t="str">
            <v>Dat0886</v>
          </cell>
        </row>
        <row r="1364">
          <cell r="D1364" t="str">
            <v>Dat0887</v>
          </cell>
        </row>
        <row r="1365">
          <cell r="D1365" t="str">
            <v>Dat0888</v>
          </cell>
        </row>
        <row r="1366">
          <cell r="D1366" t="str">
            <v>Dat0889</v>
          </cell>
        </row>
        <row r="1367">
          <cell r="D1367" t="str">
            <v>Dat0890</v>
          </cell>
        </row>
        <row r="1368">
          <cell r="D1368" t="str">
            <v>Dat0891</v>
          </cell>
        </row>
        <row r="1369">
          <cell r="D1369" t="str">
            <v>Dat0892</v>
          </cell>
        </row>
        <row r="1370">
          <cell r="D1370" t="str">
            <v>Dat0893</v>
          </cell>
        </row>
        <row r="1371">
          <cell r="D1371" t="str">
            <v>Dat0894</v>
          </cell>
        </row>
        <row r="1372">
          <cell r="D1372" t="str">
            <v>Dat0895</v>
          </cell>
        </row>
        <row r="1373">
          <cell r="D1373" t="str">
            <v>Dat0896</v>
          </cell>
        </row>
        <row r="1374">
          <cell r="D1374" t="str">
            <v>Dat0897</v>
          </cell>
        </row>
        <row r="1375">
          <cell r="D1375" t="str">
            <v>Dat0898</v>
          </cell>
        </row>
        <row r="1376">
          <cell r="D1376" t="str">
            <v>Dat0899</v>
          </cell>
        </row>
        <row r="1377">
          <cell r="D1377" t="str">
            <v>Dat0900</v>
          </cell>
        </row>
        <row r="1378">
          <cell r="D1378" t="str">
            <v>PX0019</v>
          </cell>
        </row>
        <row r="1379">
          <cell r="D1379" t="str">
            <v>PX0020</v>
          </cell>
        </row>
        <row r="1380">
          <cell r="D1380" t="str">
            <v>PX0021</v>
          </cell>
        </row>
        <row r="1381">
          <cell r="D1381" t="str">
            <v>PX0022</v>
          </cell>
        </row>
        <row r="1382">
          <cell r="D1382" t="str">
            <v>PX0023</v>
          </cell>
        </row>
        <row r="1383">
          <cell r="D1383" t="str">
            <v>PX0024</v>
          </cell>
        </row>
        <row r="1384">
          <cell r="D1384" t="str">
            <v>PX0025</v>
          </cell>
        </row>
        <row r="1385">
          <cell r="D1385" t="str">
            <v>PX0026</v>
          </cell>
        </row>
        <row r="1386">
          <cell r="D1386" t="str">
            <v>PX0027</v>
          </cell>
        </row>
        <row r="1387">
          <cell r="D1387" t="str">
            <v>PX0028</v>
          </cell>
        </row>
        <row r="1388">
          <cell r="D1388" t="str">
            <v>PX0029</v>
          </cell>
        </row>
        <row r="1389">
          <cell r="D1389" t="str">
            <v>PX0030</v>
          </cell>
        </row>
        <row r="1390">
          <cell r="D1390" t="str">
            <v>PX0031</v>
          </cell>
        </row>
        <row r="1391">
          <cell r="D1391" t="str">
            <v>PX0032</v>
          </cell>
        </row>
        <row r="1392">
          <cell r="D1392" t="str">
            <v>PX0033</v>
          </cell>
        </row>
        <row r="1393">
          <cell r="D1393" t="str">
            <v>PX0034</v>
          </cell>
        </row>
        <row r="1394">
          <cell r="D1394" t="str">
            <v>PX0035</v>
          </cell>
        </row>
        <row r="1395">
          <cell r="D1395" t="str">
            <v>PX0036</v>
          </cell>
        </row>
        <row r="1396">
          <cell r="D1396" t="str">
            <v>PX0037</v>
          </cell>
        </row>
        <row r="1397">
          <cell r="D1397" t="str">
            <v>PX0038</v>
          </cell>
        </row>
        <row r="1398">
          <cell r="D1398" t="str">
            <v>PX0039</v>
          </cell>
        </row>
        <row r="1399">
          <cell r="D1399" t="str">
            <v>PX0040</v>
          </cell>
        </row>
        <row r="1400">
          <cell r="D1400" t="str">
            <v>PX0041</v>
          </cell>
        </row>
        <row r="1401">
          <cell r="D1401" t="str">
            <v>PX0042</v>
          </cell>
        </row>
        <row r="1402">
          <cell r="D1402" t="str">
            <v>PX0043</v>
          </cell>
        </row>
        <row r="1403">
          <cell r="D1403" t="str">
            <v>Dat0901</v>
          </cell>
        </row>
        <row r="1404">
          <cell r="D1404" t="str">
            <v>Dat0902</v>
          </cell>
        </row>
        <row r="1405">
          <cell r="D1405" t="str">
            <v>Dat0903</v>
          </cell>
        </row>
        <row r="1406">
          <cell r="D1406" t="str">
            <v>Dat0904</v>
          </cell>
        </row>
        <row r="1407">
          <cell r="D1407" t="str">
            <v>Dat0905</v>
          </cell>
        </row>
        <row r="1408">
          <cell r="D1408" t="str">
            <v>Dat0906</v>
          </cell>
        </row>
        <row r="1409">
          <cell r="D1409" t="str">
            <v>Dat0907</v>
          </cell>
        </row>
        <row r="1410">
          <cell r="D1410" t="str">
            <v>Dat0908</v>
          </cell>
        </row>
        <row r="1411">
          <cell r="D1411" t="str">
            <v>Dat0909</v>
          </cell>
        </row>
        <row r="1412">
          <cell r="D1412" t="str">
            <v>Dat0910</v>
          </cell>
        </row>
        <row r="1413">
          <cell r="D1413" t="str">
            <v>Dat0911</v>
          </cell>
        </row>
        <row r="1414">
          <cell r="D1414" t="str">
            <v>Dat0912</v>
          </cell>
        </row>
        <row r="1415">
          <cell r="D1415" t="str">
            <v>Dat0913</v>
          </cell>
        </row>
        <row r="1416">
          <cell r="D1416" t="str">
            <v>Dat0914</v>
          </cell>
        </row>
        <row r="1417">
          <cell r="D1417" t="str">
            <v>Dat0915</v>
          </cell>
        </row>
        <row r="1418">
          <cell r="D1418" t="str">
            <v>Dat0916</v>
          </cell>
        </row>
        <row r="1419">
          <cell r="D1419" t="str">
            <v>Dat0917</v>
          </cell>
        </row>
        <row r="1420">
          <cell r="D1420" t="str">
            <v>Dat0918</v>
          </cell>
        </row>
        <row r="1421">
          <cell r="D1421" t="str">
            <v>Dat0919</v>
          </cell>
        </row>
        <row r="1422">
          <cell r="D1422" t="str">
            <v>Dat0920</v>
          </cell>
        </row>
        <row r="1423">
          <cell r="D1423" t="str">
            <v>GUA0001</v>
          </cell>
        </row>
        <row r="1424">
          <cell r="D1424" t="str">
            <v>GUA0002</v>
          </cell>
        </row>
        <row r="1425">
          <cell r="D1425" t="str">
            <v>GUA0003</v>
          </cell>
        </row>
        <row r="1426">
          <cell r="D1426" t="str">
            <v>GUA0004</v>
          </cell>
        </row>
        <row r="1427">
          <cell r="D1427" t="str">
            <v>GUA0005</v>
          </cell>
        </row>
        <row r="1428">
          <cell r="D1428" t="str">
            <v>GUA0006</v>
          </cell>
        </row>
        <row r="1429">
          <cell r="D1429" t="str">
            <v>GUA0007</v>
          </cell>
        </row>
        <row r="1430">
          <cell r="D1430" t="str">
            <v>GUA0008</v>
          </cell>
        </row>
        <row r="1431">
          <cell r="D1431" t="str">
            <v>GUA0009</v>
          </cell>
        </row>
        <row r="1432">
          <cell r="D1432" t="str">
            <v>GUA0010</v>
          </cell>
        </row>
        <row r="1433">
          <cell r="D1433" t="str">
            <v>PX0044</v>
          </cell>
        </row>
        <row r="1434">
          <cell r="D1434" t="str">
            <v>PX0045</v>
          </cell>
        </row>
        <row r="1435">
          <cell r="D1435" t="str">
            <v>PX0046</v>
          </cell>
        </row>
        <row r="1436">
          <cell r="D1436" t="str">
            <v>PX0047</v>
          </cell>
        </row>
        <row r="1437">
          <cell r="D1437" t="str">
            <v>PX0048</v>
          </cell>
        </row>
        <row r="1438">
          <cell r="D1438" t="str">
            <v>PX0049</v>
          </cell>
        </row>
        <row r="1439">
          <cell r="D1439" t="str">
            <v>PX0050</v>
          </cell>
        </row>
        <row r="1440">
          <cell r="D1440" t="str">
            <v>PX0051</v>
          </cell>
        </row>
        <row r="1441">
          <cell r="D1441" t="str">
            <v>PX0052</v>
          </cell>
        </row>
        <row r="1442">
          <cell r="D1442" t="str">
            <v>PX0053</v>
          </cell>
        </row>
        <row r="1443">
          <cell r="D1443" t="str">
            <v>PX0054</v>
          </cell>
        </row>
        <row r="1444">
          <cell r="D1444" t="str">
            <v>PX0055</v>
          </cell>
        </row>
        <row r="1445">
          <cell r="D1445" t="str">
            <v>PX0056</v>
          </cell>
        </row>
        <row r="1446">
          <cell r="D1446" t="str">
            <v>PX0057</v>
          </cell>
        </row>
        <row r="1447">
          <cell r="D1447" t="str">
            <v>PX0058</v>
          </cell>
        </row>
        <row r="1448">
          <cell r="D1448" t="str">
            <v>PX0059</v>
          </cell>
        </row>
        <row r="1449">
          <cell r="D1449" t="str">
            <v>PX0060</v>
          </cell>
        </row>
        <row r="1450">
          <cell r="D1450" t="str">
            <v>PX0061</v>
          </cell>
        </row>
        <row r="1451">
          <cell r="D1451" t="str">
            <v>PX0062</v>
          </cell>
        </row>
        <row r="1452">
          <cell r="D1452" t="str">
            <v>PX0063</v>
          </cell>
        </row>
        <row r="1453">
          <cell r="D1453" t="str">
            <v>PX0064</v>
          </cell>
        </row>
        <row r="1454">
          <cell r="D1454" t="str">
            <v>PX0065</v>
          </cell>
        </row>
        <row r="1455">
          <cell r="D1455" t="str">
            <v>PX0066</v>
          </cell>
        </row>
        <row r="1456">
          <cell r="D1456" t="str">
            <v>PX0067</v>
          </cell>
        </row>
        <row r="1457">
          <cell r="D1457" t="str">
            <v>PX0068</v>
          </cell>
        </row>
        <row r="1458">
          <cell r="D1458" t="str">
            <v>Dat0921</v>
          </cell>
        </row>
        <row r="1459">
          <cell r="D1459" t="str">
            <v>Dat0922</v>
          </cell>
        </row>
        <row r="1460">
          <cell r="D1460" t="str">
            <v>Dat0923</v>
          </cell>
        </row>
        <row r="1461">
          <cell r="D1461" t="str">
            <v>Dat0924</v>
          </cell>
        </row>
        <row r="1462">
          <cell r="D1462" t="str">
            <v>Dat0925</v>
          </cell>
        </row>
        <row r="1463">
          <cell r="D1463" t="str">
            <v>Dat0926</v>
          </cell>
        </row>
        <row r="1464">
          <cell r="D1464" t="str">
            <v>Dat0927</v>
          </cell>
        </row>
        <row r="1465">
          <cell r="D1465" t="str">
            <v>Dat0928</v>
          </cell>
        </row>
        <row r="1466">
          <cell r="D1466" t="str">
            <v>Dat0929</v>
          </cell>
        </row>
        <row r="1467">
          <cell r="D1467" t="str">
            <v>Dat0930</v>
          </cell>
        </row>
        <row r="1468">
          <cell r="D1468" t="str">
            <v>Dat0931</v>
          </cell>
        </row>
        <row r="1469">
          <cell r="D1469" t="str">
            <v>Dat0932</v>
          </cell>
        </row>
        <row r="1470">
          <cell r="D1470" t="str">
            <v>Dat0933</v>
          </cell>
        </row>
        <row r="1471">
          <cell r="D1471" t="str">
            <v>Dat0934</v>
          </cell>
        </row>
        <row r="1472">
          <cell r="D1472" t="str">
            <v>Dat0935</v>
          </cell>
        </row>
        <row r="1473">
          <cell r="D1473" t="str">
            <v>Dat0936</v>
          </cell>
        </row>
        <row r="1474">
          <cell r="D1474" t="str">
            <v>Dat0937</v>
          </cell>
        </row>
        <row r="1475">
          <cell r="D1475" t="str">
            <v>Dat0938</v>
          </cell>
        </row>
        <row r="1476">
          <cell r="D1476" t="str">
            <v>Dat0939</v>
          </cell>
        </row>
        <row r="1477">
          <cell r="D1477" t="str">
            <v>Dat0940</v>
          </cell>
        </row>
        <row r="1478">
          <cell r="D1478" t="str">
            <v>Dat0941</v>
          </cell>
        </row>
        <row r="1479">
          <cell r="D1479" t="str">
            <v>Dat0942</v>
          </cell>
        </row>
        <row r="1480">
          <cell r="D1480" t="str">
            <v>Dat0943</v>
          </cell>
        </row>
        <row r="1481">
          <cell r="D1481" t="str">
            <v>Dat0944</v>
          </cell>
        </row>
        <row r="1482">
          <cell r="D1482" t="str">
            <v>Dat0945</v>
          </cell>
        </row>
        <row r="1483">
          <cell r="D1483" t="str">
            <v>Dat0946</v>
          </cell>
        </row>
        <row r="1484">
          <cell r="D1484" t="str">
            <v>Dat0947</v>
          </cell>
        </row>
        <row r="1485">
          <cell r="D1485" t="str">
            <v>Dat0948</v>
          </cell>
        </row>
        <row r="1486">
          <cell r="D1486" t="str">
            <v>Dat0949</v>
          </cell>
        </row>
        <row r="1487">
          <cell r="D1487" t="str">
            <v>Dat0950</v>
          </cell>
        </row>
        <row r="1488">
          <cell r="D1488" t="str">
            <v>Dat0951</v>
          </cell>
        </row>
        <row r="1489">
          <cell r="D1489" t="str">
            <v>Dat0952</v>
          </cell>
        </row>
        <row r="1490">
          <cell r="D1490" t="str">
            <v>Dat0953</v>
          </cell>
        </row>
        <row r="1491">
          <cell r="D1491" t="str">
            <v>Dat0954</v>
          </cell>
        </row>
        <row r="1492">
          <cell r="D1492" t="str">
            <v>Dat0955</v>
          </cell>
        </row>
        <row r="1493">
          <cell r="D1493" t="str">
            <v>Dat0956</v>
          </cell>
        </row>
        <row r="1494">
          <cell r="D1494" t="str">
            <v>Dat0957</v>
          </cell>
        </row>
        <row r="1495">
          <cell r="D1495" t="str">
            <v>Dat0958</v>
          </cell>
        </row>
        <row r="1496">
          <cell r="D1496" t="str">
            <v>Dat0959</v>
          </cell>
        </row>
        <row r="1497">
          <cell r="D1497" t="str">
            <v>Dat0960</v>
          </cell>
        </row>
        <row r="1498">
          <cell r="D1498" t="str">
            <v>Dat0961</v>
          </cell>
        </row>
        <row r="1499">
          <cell r="D1499" t="str">
            <v>Dat0962</v>
          </cell>
        </row>
        <row r="1500">
          <cell r="D1500" t="str">
            <v>Dat0963</v>
          </cell>
        </row>
        <row r="1501">
          <cell r="D1501" t="str">
            <v>Dat0964</v>
          </cell>
        </row>
        <row r="1502">
          <cell r="D1502" t="str">
            <v>Dat0965</v>
          </cell>
        </row>
        <row r="1503">
          <cell r="D1503" t="str">
            <v>Dat0966</v>
          </cell>
        </row>
        <row r="1504">
          <cell r="D1504" t="str">
            <v>Dat0967</v>
          </cell>
        </row>
        <row r="1505">
          <cell r="D1505" t="str">
            <v>Dat0968</v>
          </cell>
        </row>
        <row r="1506">
          <cell r="D1506" t="str">
            <v>Dat0969</v>
          </cell>
        </row>
        <row r="1507">
          <cell r="D1507" t="str">
            <v>Dat0970</v>
          </cell>
        </row>
        <row r="1508">
          <cell r="D1508" t="str">
            <v>NCZ0001</v>
          </cell>
        </row>
        <row r="1509">
          <cell r="D1509" t="str">
            <v>NCZ0002</v>
          </cell>
        </row>
        <row r="1510">
          <cell r="D1510" t="str">
            <v>NCZ0003</v>
          </cell>
        </row>
        <row r="1511">
          <cell r="D1511" t="str">
            <v>NCZ0004</v>
          </cell>
        </row>
        <row r="1512">
          <cell r="D1512" t="str">
            <v>NCZ0005</v>
          </cell>
        </row>
        <row r="1513">
          <cell r="D1513" t="str">
            <v>Dat0971</v>
          </cell>
        </row>
        <row r="1514">
          <cell r="D1514" t="str">
            <v>Dat0972</v>
          </cell>
        </row>
        <row r="1515">
          <cell r="D1515" t="str">
            <v>Dat0973</v>
          </cell>
        </row>
        <row r="1516">
          <cell r="D1516" t="str">
            <v>Dat0974</v>
          </cell>
        </row>
        <row r="1517">
          <cell r="D1517" t="str">
            <v>Dat0975</v>
          </cell>
        </row>
        <row r="1518">
          <cell r="D1518" t="str">
            <v>Dat0976</v>
          </cell>
        </row>
        <row r="1519">
          <cell r="D1519" t="str">
            <v>Dat0977</v>
          </cell>
        </row>
        <row r="1520">
          <cell r="D1520" t="str">
            <v>Dat0978</v>
          </cell>
        </row>
        <row r="1521">
          <cell r="D1521" t="str">
            <v>Dat0979</v>
          </cell>
        </row>
        <row r="1522">
          <cell r="D1522" t="str">
            <v>Dat0980</v>
          </cell>
        </row>
        <row r="1523">
          <cell r="D1523" t="str">
            <v>Dat0981</v>
          </cell>
        </row>
        <row r="1524">
          <cell r="D1524" t="str">
            <v>Dat0982</v>
          </cell>
        </row>
        <row r="1525">
          <cell r="D1525" t="str">
            <v>Dat0983</v>
          </cell>
        </row>
        <row r="1526">
          <cell r="D1526" t="str">
            <v>Dat0984</v>
          </cell>
        </row>
        <row r="1527">
          <cell r="D1527" t="str">
            <v>Dat0985</v>
          </cell>
        </row>
        <row r="1528">
          <cell r="D1528" t="str">
            <v>Dat0986</v>
          </cell>
        </row>
        <row r="1529">
          <cell r="D1529" t="str">
            <v>Dat0987</v>
          </cell>
        </row>
        <row r="1530">
          <cell r="D1530" t="str">
            <v>Dat0988</v>
          </cell>
        </row>
        <row r="1531">
          <cell r="D1531" t="str">
            <v>Dat0989</v>
          </cell>
        </row>
        <row r="1532">
          <cell r="D1532" t="str">
            <v>Dat0990</v>
          </cell>
        </row>
        <row r="1533">
          <cell r="D1533" t="str">
            <v>PX0069</v>
          </cell>
        </row>
        <row r="1534">
          <cell r="D1534" t="str">
            <v>PX0070</v>
          </cell>
        </row>
        <row r="1535">
          <cell r="D1535" t="str">
            <v>PX0071</v>
          </cell>
        </row>
        <row r="1536">
          <cell r="D1536" t="str">
            <v>PX0072</v>
          </cell>
        </row>
        <row r="1537">
          <cell r="D1537" t="str">
            <v>PX0073</v>
          </cell>
        </row>
        <row r="1538">
          <cell r="D1538" t="str">
            <v>PX0074</v>
          </cell>
        </row>
        <row r="1539">
          <cell r="D1539" t="str">
            <v>PX0075</v>
          </cell>
        </row>
        <row r="1540">
          <cell r="D1540" t="str">
            <v>PX0076</v>
          </cell>
        </row>
        <row r="1541">
          <cell r="D1541" t="str">
            <v>PX0077</v>
          </cell>
        </row>
        <row r="1542">
          <cell r="D1542" t="str">
            <v>PX0078</v>
          </cell>
        </row>
        <row r="1543">
          <cell r="D1543" t="str">
            <v>PX0079</v>
          </cell>
        </row>
        <row r="1544">
          <cell r="D1544" t="str">
            <v>PX0080</v>
          </cell>
        </row>
        <row r="1545">
          <cell r="D1545" t="str">
            <v>PX0081</v>
          </cell>
        </row>
        <row r="1546">
          <cell r="D1546" t="str">
            <v>PX0082</v>
          </cell>
        </row>
        <row r="1547">
          <cell r="D1547" t="str">
            <v>PX0083</v>
          </cell>
        </row>
        <row r="1548">
          <cell r="D1548" t="str">
            <v>PX0084</v>
          </cell>
        </row>
        <row r="1549">
          <cell r="D1549" t="str">
            <v>PX0085</v>
          </cell>
        </row>
        <row r="1550">
          <cell r="D1550" t="str">
            <v>PX0086</v>
          </cell>
        </row>
        <row r="1551">
          <cell r="D1551" t="str">
            <v>PX0087</v>
          </cell>
        </row>
        <row r="1552">
          <cell r="D1552" t="str">
            <v>PX0088</v>
          </cell>
        </row>
        <row r="1553">
          <cell r="D1553" t="str">
            <v>PX0089</v>
          </cell>
        </row>
        <row r="1554">
          <cell r="D1554" t="str">
            <v>PX0090</v>
          </cell>
        </row>
        <row r="1555">
          <cell r="D1555" t="str">
            <v>PX0091</v>
          </cell>
        </row>
        <row r="1556">
          <cell r="D1556" t="str">
            <v>PX0092</v>
          </cell>
        </row>
        <row r="1557">
          <cell r="D1557" t="str">
            <v>PX0093</v>
          </cell>
        </row>
        <row r="1558">
          <cell r="D1558" t="str">
            <v>PX0094</v>
          </cell>
        </row>
        <row r="1559">
          <cell r="D1559" t="str">
            <v>PX0095</v>
          </cell>
        </row>
        <row r="1560">
          <cell r="D1560" t="str">
            <v>PX0096</v>
          </cell>
        </row>
        <row r="1561">
          <cell r="D1561" t="str">
            <v>PX0097</v>
          </cell>
        </row>
        <row r="1562">
          <cell r="D1562" t="str">
            <v>PX0098</v>
          </cell>
        </row>
        <row r="1563">
          <cell r="D1563" t="str">
            <v>PX0099</v>
          </cell>
        </row>
        <row r="1564">
          <cell r="D1564" t="str">
            <v>Dat0991</v>
          </cell>
        </row>
        <row r="1565">
          <cell r="D1565" t="str">
            <v>Dat0992</v>
          </cell>
        </row>
        <row r="1566">
          <cell r="D1566" t="str">
            <v>Dat0993</v>
          </cell>
        </row>
        <row r="1567">
          <cell r="D1567" t="str">
            <v>Dat0994</v>
          </cell>
        </row>
        <row r="1568">
          <cell r="D1568" t="str">
            <v>Dat0995</v>
          </cell>
        </row>
        <row r="1569">
          <cell r="D1569" t="str">
            <v>Dat0996</v>
          </cell>
        </row>
        <row r="1570">
          <cell r="D1570" t="str">
            <v>Dat0997</v>
          </cell>
        </row>
        <row r="1571">
          <cell r="D1571" t="str">
            <v>Dat0998</v>
          </cell>
        </row>
        <row r="1572">
          <cell r="D1572" t="str">
            <v>Dat0999</v>
          </cell>
        </row>
        <row r="1573">
          <cell r="D1573" t="str">
            <v>Dat1000</v>
          </cell>
        </row>
        <row r="1574">
          <cell r="D1574" t="str">
            <v>Dat1001</v>
          </cell>
        </row>
        <row r="1575">
          <cell r="D1575" t="str">
            <v>Dat1002</v>
          </cell>
        </row>
        <row r="1576">
          <cell r="D1576" t="str">
            <v>Dat1003</v>
          </cell>
        </row>
        <row r="1577">
          <cell r="D1577" t="str">
            <v>Dat1004</v>
          </cell>
        </row>
        <row r="1578">
          <cell r="D1578" t="str">
            <v>Dat1005</v>
          </cell>
        </row>
        <row r="1579">
          <cell r="D1579" t="str">
            <v>Dat1006</v>
          </cell>
        </row>
        <row r="1580">
          <cell r="D1580" t="str">
            <v>Dat1007</v>
          </cell>
        </row>
        <row r="1581">
          <cell r="D1581" t="str">
            <v>Dat1008</v>
          </cell>
        </row>
        <row r="1582">
          <cell r="D1582" t="str">
            <v>Dat1009</v>
          </cell>
        </row>
        <row r="1583">
          <cell r="D1583" t="str">
            <v>Dat1010</v>
          </cell>
        </row>
        <row r="1584">
          <cell r="D1584" t="str">
            <v>NCZ0006</v>
          </cell>
        </row>
        <row r="1585">
          <cell r="D1585" t="str">
            <v>NCZ0007</v>
          </cell>
        </row>
        <row r="1586">
          <cell r="D1586" t="str">
            <v/>
          </cell>
        </row>
        <row r="1587">
          <cell r="D1587" t="str">
            <v/>
          </cell>
        </row>
        <row r="1588">
          <cell r="D1588" t="str">
            <v/>
          </cell>
        </row>
        <row r="1589">
          <cell r="D1589" t="str">
            <v/>
          </cell>
        </row>
        <row r="1590">
          <cell r="D1590" t="str">
            <v/>
          </cell>
        </row>
        <row r="1591">
          <cell r="D1591" t="str">
            <v/>
          </cell>
        </row>
        <row r="1592">
          <cell r="D1592" t="str">
            <v/>
          </cell>
        </row>
        <row r="1593">
          <cell r="D1593" t="str">
            <v/>
          </cell>
        </row>
        <row r="1594">
          <cell r="D1594" t="str">
            <v/>
          </cell>
        </row>
        <row r="1595">
          <cell r="D1595" t="str">
            <v/>
          </cell>
        </row>
        <row r="1596">
          <cell r="D1596" t="str">
            <v/>
          </cell>
        </row>
        <row r="1597">
          <cell r="D1597" t="str">
            <v/>
          </cell>
        </row>
        <row r="1598">
          <cell r="D1598" t="str">
            <v/>
          </cell>
        </row>
        <row r="1599">
          <cell r="D1599" t="str">
            <v>Dat1011</v>
          </cell>
        </row>
        <row r="1600">
          <cell r="D1600" t="str">
            <v>Dat1012</v>
          </cell>
        </row>
        <row r="1601">
          <cell r="D1601" t="str">
            <v>Dat1013</v>
          </cell>
        </row>
        <row r="1602">
          <cell r="D1602" t="str">
            <v>Dat1014</v>
          </cell>
        </row>
        <row r="1603">
          <cell r="D1603" t="str">
            <v>Dat1015</v>
          </cell>
        </row>
        <row r="1604">
          <cell r="D1604" t="str">
            <v>Dat1016</v>
          </cell>
        </row>
        <row r="1605">
          <cell r="D1605" t="str">
            <v>Dat1017</v>
          </cell>
        </row>
        <row r="1606">
          <cell r="D1606" t="str">
            <v>Dat1018</v>
          </cell>
        </row>
        <row r="1607">
          <cell r="D1607" t="str">
            <v>Dat1019</v>
          </cell>
        </row>
        <row r="1608">
          <cell r="D1608" t="str">
            <v>Dat1020</v>
          </cell>
        </row>
        <row r="1609">
          <cell r="D1609" t="str">
            <v>Dat1021</v>
          </cell>
        </row>
        <row r="1610">
          <cell r="D1610" t="str">
            <v>Dat1022</v>
          </cell>
        </row>
        <row r="1611">
          <cell r="D1611" t="str">
            <v>Dat1023</v>
          </cell>
        </row>
        <row r="1612">
          <cell r="D1612" t="str">
            <v>Dat1024</v>
          </cell>
        </row>
        <row r="1613">
          <cell r="D1613" t="str">
            <v>Dat1025</v>
          </cell>
        </row>
        <row r="1614">
          <cell r="D1614" t="str">
            <v>Dat1026</v>
          </cell>
        </row>
        <row r="1615">
          <cell r="D1615" t="str">
            <v>Dat1027</v>
          </cell>
        </row>
        <row r="1616">
          <cell r="D1616" t="str">
            <v>Dat1028</v>
          </cell>
        </row>
        <row r="1617">
          <cell r="D1617" t="str">
            <v>Dat1029</v>
          </cell>
        </row>
        <row r="1618">
          <cell r="D1618" t="str">
            <v>Dat1030</v>
          </cell>
        </row>
        <row r="1619">
          <cell r="D1619" t="str">
            <v>Dat1031</v>
          </cell>
        </row>
        <row r="1620">
          <cell r="D1620" t="str">
            <v>Dat1032</v>
          </cell>
        </row>
        <row r="1621">
          <cell r="D1621" t="str">
            <v>Dat1033</v>
          </cell>
        </row>
        <row r="1622">
          <cell r="D1622" t="str">
            <v>Dat1034</v>
          </cell>
        </row>
        <row r="1623">
          <cell r="D1623" t="str">
            <v>Dat1035</v>
          </cell>
        </row>
        <row r="1624">
          <cell r="D1624" t="str">
            <v>Dat1036</v>
          </cell>
        </row>
        <row r="1625">
          <cell r="D1625" t="str">
            <v>Dat1037</v>
          </cell>
        </row>
        <row r="1626">
          <cell r="D1626" t="str">
            <v>Dat1038</v>
          </cell>
        </row>
        <row r="1627">
          <cell r="D1627" t="str">
            <v>Dat1039</v>
          </cell>
        </row>
        <row r="1628">
          <cell r="D1628" t="str">
            <v>Dat1040</v>
          </cell>
        </row>
        <row r="1629">
          <cell r="D1629" t="str">
            <v>Dat1041</v>
          </cell>
        </row>
        <row r="1630">
          <cell r="D1630" t="str">
            <v>Dat1042</v>
          </cell>
        </row>
        <row r="1631">
          <cell r="D1631" t="str">
            <v>Dat1043</v>
          </cell>
        </row>
        <row r="1632">
          <cell r="D1632" t="str">
            <v>Dat1044</v>
          </cell>
        </row>
        <row r="1633">
          <cell r="D1633" t="str">
            <v>Dat1045</v>
          </cell>
        </row>
        <row r="1634">
          <cell r="D1634" t="str">
            <v>Dat1046</v>
          </cell>
        </row>
        <row r="1635">
          <cell r="D1635" t="str">
            <v>Dat1047</v>
          </cell>
        </row>
        <row r="1636">
          <cell r="D1636" t="str">
            <v>Dat1048</v>
          </cell>
        </row>
        <row r="1637">
          <cell r="D1637" t="str">
            <v>Dat1049</v>
          </cell>
        </row>
        <row r="1638">
          <cell r="D1638" t="str">
            <v>Dat1050</v>
          </cell>
        </row>
        <row r="1639">
          <cell r="D1639" t="str">
            <v>Dat1051</v>
          </cell>
        </row>
        <row r="1640">
          <cell r="D1640" t="str">
            <v>Dat1052</v>
          </cell>
        </row>
        <row r="1641">
          <cell r="D1641" t="str">
            <v>Dat1053</v>
          </cell>
        </row>
        <row r="1642">
          <cell r="D1642" t="str">
            <v>Dat1054</v>
          </cell>
        </row>
        <row r="1643">
          <cell r="D1643" t="str">
            <v>Dat1055</v>
          </cell>
        </row>
        <row r="1644">
          <cell r="D1644" t="str">
            <v>Dat1056</v>
          </cell>
        </row>
        <row r="1645">
          <cell r="D1645" t="str">
            <v>Dat1057</v>
          </cell>
        </row>
        <row r="1646">
          <cell r="D1646" t="str">
            <v>Dat1058</v>
          </cell>
        </row>
        <row r="1647">
          <cell r="D1647" t="str">
            <v>Dat1059</v>
          </cell>
        </row>
        <row r="1648">
          <cell r="D1648" t="str">
            <v>Dat1060</v>
          </cell>
        </row>
        <row r="1649">
          <cell r="D1649" t="str">
            <v>Dat1061</v>
          </cell>
        </row>
        <row r="1650">
          <cell r="D1650" t="str">
            <v>Dat1062</v>
          </cell>
        </row>
        <row r="1651">
          <cell r="D1651" t="str">
            <v>Dat1063</v>
          </cell>
        </row>
        <row r="1652">
          <cell r="D1652" t="str">
            <v>Dat1064</v>
          </cell>
        </row>
        <row r="1653">
          <cell r="D1653" t="str">
            <v>Dat1065</v>
          </cell>
        </row>
        <row r="1654">
          <cell r="D1654" t="str">
            <v>Dat1066</v>
          </cell>
        </row>
        <row r="1655">
          <cell r="D1655" t="str">
            <v>Dat1067</v>
          </cell>
        </row>
        <row r="1656">
          <cell r="D1656" t="str">
            <v>Dat1068</v>
          </cell>
        </row>
        <row r="1657">
          <cell r="D1657" t="str">
            <v>Dat1069</v>
          </cell>
        </row>
        <row r="1658">
          <cell r="D1658" t="str">
            <v>Dat1070</v>
          </cell>
        </row>
        <row r="1659">
          <cell r="D1659" t="str">
            <v>PHT0001</v>
          </cell>
        </row>
        <row r="1660">
          <cell r="D1660" t="str">
            <v>PHT0002</v>
          </cell>
        </row>
        <row r="1661">
          <cell r="D1661" t="str">
            <v>PHT0003</v>
          </cell>
        </row>
        <row r="1662">
          <cell r="D1662" t="str">
            <v/>
          </cell>
        </row>
        <row r="1663">
          <cell r="D1663" t="str">
            <v/>
          </cell>
        </row>
        <row r="1664">
          <cell r="D1664" t="str">
            <v>PST0001</v>
          </cell>
        </row>
        <row r="1665">
          <cell r="D1665" t="str">
            <v>PST0002</v>
          </cell>
        </row>
        <row r="1666">
          <cell r="D1666" t="str">
            <v>PST0003</v>
          </cell>
        </row>
        <row r="1667">
          <cell r="D1667" t="str">
            <v>PST0004</v>
          </cell>
        </row>
        <row r="1668">
          <cell r="D1668" t="str">
            <v>PST0005</v>
          </cell>
        </row>
        <row r="1669">
          <cell r="D1669" t="str">
            <v>PST0006</v>
          </cell>
        </row>
        <row r="1670">
          <cell r="D1670" t="str">
            <v>PST0007</v>
          </cell>
        </row>
        <row r="1671">
          <cell r="D1671" t="str">
            <v>PST0008</v>
          </cell>
        </row>
        <row r="1672">
          <cell r="D1672" t="str">
            <v>PST0009</v>
          </cell>
        </row>
        <row r="1673">
          <cell r="D1673" t="str">
            <v>PST0010</v>
          </cell>
        </row>
        <row r="1674">
          <cell r="D1674" t="str">
            <v>Dat1071</v>
          </cell>
        </row>
        <row r="1675">
          <cell r="D1675" t="str">
            <v>Dat1072</v>
          </cell>
        </row>
        <row r="1676">
          <cell r="D1676" t="str">
            <v>PST0011</v>
          </cell>
        </row>
        <row r="1677">
          <cell r="D1677" t="str">
            <v>PST0012</v>
          </cell>
        </row>
        <row r="1678">
          <cell r="D1678" t="str">
            <v>PX0100</v>
          </cell>
        </row>
        <row r="1679">
          <cell r="D1679" t="str">
            <v>PST0013</v>
          </cell>
        </row>
        <row r="1680">
          <cell r="D1680" t="str">
            <v>PST0014</v>
          </cell>
        </row>
        <row r="1681">
          <cell r="D1681" t="str">
            <v>PX0101</v>
          </cell>
        </row>
        <row r="1682">
          <cell r="D1682" t="str">
            <v>PX0102</v>
          </cell>
        </row>
        <row r="1683">
          <cell r="D1683" t="str">
            <v>PX0103</v>
          </cell>
        </row>
        <row r="1684">
          <cell r="D1684" t="str">
            <v>PX0104</v>
          </cell>
        </row>
        <row r="1685">
          <cell r="D1685" t="str">
            <v>PX0105</v>
          </cell>
        </row>
        <row r="1686">
          <cell r="D1686" t="str">
            <v>PX0106</v>
          </cell>
        </row>
        <row r="1687">
          <cell r="D1687" t="str">
            <v>PST0015</v>
          </cell>
        </row>
        <row r="1688">
          <cell r="D1688" t="str">
            <v>PX0107</v>
          </cell>
        </row>
        <row r="1689">
          <cell r="D1689" t="str">
            <v>PX0108</v>
          </cell>
        </row>
        <row r="1690">
          <cell r="D1690" t="str">
            <v>PST0016</v>
          </cell>
        </row>
        <row r="1691">
          <cell r="D1691" t="str">
            <v>JCH0001</v>
          </cell>
        </row>
        <row r="1692">
          <cell r="D1692" t="str">
            <v>PST0017</v>
          </cell>
        </row>
        <row r="1693">
          <cell r="D1693" t="str">
            <v>PX0109</v>
          </cell>
        </row>
        <row r="1694">
          <cell r="D1694" t="str">
            <v>PST0018</v>
          </cell>
        </row>
        <row r="1695">
          <cell r="D1695" t="str">
            <v>PX0110</v>
          </cell>
        </row>
        <row r="1696">
          <cell r="D1696" t="str">
            <v>PX0111</v>
          </cell>
        </row>
        <row r="1697">
          <cell r="D1697" t="str">
            <v>Dat1073</v>
          </cell>
        </row>
        <row r="1698">
          <cell r="D1698" t="str">
            <v>PX0112</v>
          </cell>
        </row>
        <row r="1699">
          <cell r="D1699" t="str">
            <v>PX0113</v>
          </cell>
        </row>
        <row r="1700">
          <cell r="D1700" t="str">
            <v>Dat1074</v>
          </cell>
        </row>
        <row r="1701">
          <cell r="D1701" t="str">
            <v>PST0019</v>
          </cell>
        </row>
        <row r="1702">
          <cell r="D1702" t="str">
            <v>PST0020</v>
          </cell>
        </row>
        <row r="1703">
          <cell r="D1703" t="str">
            <v>NCZ0008</v>
          </cell>
        </row>
        <row r="1704">
          <cell r="D1704" t="str">
            <v>NCZ0009</v>
          </cell>
        </row>
        <row r="1705">
          <cell r="D1705" t="str">
            <v>PST0021</v>
          </cell>
        </row>
        <row r="1706">
          <cell r="D1706" t="str">
            <v>PST0022</v>
          </cell>
        </row>
        <row r="1707">
          <cell r="D1707" t="str">
            <v>PX0114</v>
          </cell>
        </row>
        <row r="1708">
          <cell r="D1708" t="str">
            <v>PX0115</v>
          </cell>
        </row>
        <row r="1709">
          <cell r="D1709" t="str">
            <v>PST0023</v>
          </cell>
        </row>
        <row r="1710">
          <cell r="D1710" t="str">
            <v>PST0024</v>
          </cell>
        </row>
        <row r="1711">
          <cell r="D1711" t="str">
            <v>JCY0001</v>
          </cell>
        </row>
        <row r="1712">
          <cell r="D1712" t="str">
            <v>PX0116</v>
          </cell>
        </row>
        <row r="1713">
          <cell r="D1713" t="str">
            <v>PX0117</v>
          </cell>
        </row>
        <row r="1714">
          <cell r="D1714" t="str">
            <v>PX0118</v>
          </cell>
        </row>
        <row r="1715">
          <cell r="D1715" t="str">
            <v>PX0119</v>
          </cell>
        </row>
        <row r="1716">
          <cell r="D1716" t="str">
            <v>PX0120</v>
          </cell>
        </row>
        <row r="1717">
          <cell r="D1717" t="str">
            <v>PX0121</v>
          </cell>
        </row>
        <row r="1718">
          <cell r="D1718" t="str">
            <v>PX0122</v>
          </cell>
        </row>
        <row r="1719">
          <cell r="D1719" t="str">
            <v>PX0123</v>
          </cell>
        </row>
        <row r="1720">
          <cell r="D1720" t="str">
            <v>Dat1075</v>
          </cell>
        </row>
        <row r="1721">
          <cell r="D1721" t="str">
            <v>PST0025</v>
          </cell>
        </row>
        <row r="1722">
          <cell r="D1722" t="str">
            <v>PST0026</v>
          </cell>
        </row>
        <row r="1723">
          <cell r="D1723" t="str">
            <v>PST0027</v>
          </cell>
        </row>
        <row r="1724">
          <cell r="D1724" t="str">
            <v>PX0124</v>
          </cell>
        </row>
        <row r="1725">
          <cell r="D1725" t="str">
            <v>PX0125</v>
          </cell>
        </row>
        <row r="1726">
          <cell r="D1726" t="str">
            <v>PST0028</v>
          </cell>
        </row>
        <row r="1727">
          <cell r="D1727" t="str">
            <v>PST0029</v>
          </cell>
        </row>
        <row r="1728">
          <cell r="D1728" t="str">
            <v>PST0030</v>
          </cell>
        </row>
        <row r="1729">
          <cell r="D1729" t="str">
            <v>PX0126</v>
          </cell>
        </row>
        <row r="1730">
          <cell r="D1730" t="str">
            <v>PX0127</v>
          </cell>
        </row>
        <row r="1731">
          <cell r="D1731" t="str">
            <v>PX0128</v>
          </cell>
        </row>
        <row r="1732">
          <cell r="D1732" t="str">
            <v>PX0129</v>
          </cell>
        </row>
        <row r="1733">
          <cell r="D1733" t="str">
            <v>PX0130</v>
          </cell>
        </row>
        <row r="1734">
          <cell r="D1734" t="str">
            <v>PX0131</v>
          </cell>
        </row>
        <row r="1735">
          <cell r="D1735" t="str">
            <v>PX0132</v>
          </cell>
        </row>
        <row r="1736">
          <cell r="D1736" t="str">
            <v>PX0133</v>
          </cell>
        </row>
        <row r="1737">
          <cell r="D1737" t="str">
            <v>PX0134</v>
          </cell>
        </row>
        <row r="1738">
          <cell r="D1738" t="str">
            <v>PX0135</v>
          </cell>
        </row>
        <row r="1739">
          <cell r="D1739" t="str">
            <v>PX0136</v>
          </cell>
        </row>
        <row r="1740">
          <cell r="D1740" t="str">
            <v>PX0137</v>
          </cell>
        </row>
        <row r="1741">
          <cell r="D1741" t="str">
            <v>PX0138</v>
          </cell>
        </row>
        <row r="1742">
          <cell r="D1742" t="str">
            <v>PX0139</v>
          </cell>
        </row>
        <row r="1743">
          <cell r="D1743" t="str">
            <v>PX0140</v>
          </cell>
        </row>
        <row r="1744">
          <cell r="D1744" t="str">
            <v>PST0031</v>
          </cell>
        </row>
        <row r="1745">
          <cell r="D1745" t="str">
            <v>PST0032</v>
          </cell>
        </row>
        <row r="1746">
          <cell r="D1746" t="str">
            <v>PST0033</v>
          </cell>
        </row>
        <row r="1747">
          <cell r="D1747" t="str">
            <v>PST0034</v>
          </cell>
        </row>
        <row r="1748">
          <cell r="D1748" t="str">
            <v>PST0035</v>
          </cell>
        </row>
        <row r="1749">
          <cell r="D1749" t="str">
            <v>Dat1076</v>
          </cell>
        </row>
        <row r="1750">
          <cell r="D1750" t="str">
            <v>Dat1077</v>
          </cell>
        </row>
        <row r="1751">
          <cell r="D1751" t="str">
            <v>Dat1078</v>
          </cell>
        </row>
        <row r="1752">
          <cell r="D1752" t="str">
            <v>Dat1079</v>
          </cell>
        </row>
        <row r="1753">
          <cell r="D1753" t="str">
            <v>Dat1080</v>
          </cell>
        </row>
        <row r="1754">
          <cell r="D1754" t="str">
            <v>Dat1081</v>
          </cell>
        </row>
        <row r="1755">
          <cell r="D1755" t="str">
            <v>JCY0002</v>
          </cell>
        </row>
        <row r="1756">
          <cell r="D1756" t="str">
            <v>PHT0004</v>
          </cell>
        </row>
        <row r="1757">
          <cell r="D1757" t="str">
            <v>NCK0001</v>
          </cell>
        </row>
        <row r="1758">
          <cell r="D1758" t="str">
            <v>Dat1082</v>
          </cell>
        </row>
        <row r="1759">
          <cell r="D1759" t="str">
            <v>Dat1083</v>
          </cell>
        </row>
        <row r="1760">
          <cell r="D1760" t="str">
            <v>JCZ0001</v>
          </cell>
        </row>
        <row r="1761">
          <cell r="D1761" t="str">
            <v>Dat1084</v>
          </cell>
        </row>
        <row r="1762">
          <cell r="D1762" t="str">
            <v>Dat1085</v>
          </cell>
        </row>
        <row r="1763">
          <cell r="D1763" t="str">
            <v>Dat1086</v>
          </cell>
        </row>
        <row r="1764">
          <cell r="D1764" t="str">
            <v>Dat1087</v>
          </cell>
        </row>
        <row r="1765">
          <cell r="D1765" t="str">
            <v>Dat1088</v>
          </cell>
        </row>
        <row r="1766">
          <cell r="D1766" t="str">
            <v>Dat1089</v>
          </cell>
        </row>
        <row r="1767">
          <cell r="D1767" t="str">
            <v>Dat1090</v>
          </cell>
        </row>
        <row r="1768">
          <cell r="D1768" t="str">
            <v>Dat1091</v>
          </cell>
        </row>
        <row r="1769">
          <cell r="D1769" t="str">
            <v>Dat1092</v>
          </cell>
        </row>
        <row r="1770">
          <cell r="D1770" t="str">
            <v>JCZ0002</v>
          </cell>
        </row>
        <row r="1771">
          <cell r="D1771" t="str">
            <v>JCZ0003</v>
          </cell>
        </row>
        <row r="1772">
          <cell r="D1772" t="str">
            <v>JCZ0004</v>
          </cell>
        </row>
        <row r="1773">
          <cell r="D1773" t="str">
            <v>JCZ0005</v>
          </cell>
        </row>
        <row r="1774">
          <cell r="D1774" t="str">
            <v>JCZ0006</v>
          </cell>
        </row>
        <row r="1775">
          <cell r="D1775" t="str">
            <v>JCY0003</v>
          </cell>
        </row>
        <row r="1776">
          <cell r="D1776" t="str">
            <v>JCY0004</v>
          </cell>
        </row>
        <row r="1777">
          <cell r="D1777" t="str">
            <v>JCY0005</v>
          </cell>
        </row>
        <row r="1778">
          <cell r="D1778" t="str">
            <v>PST0036</v>
          </cell>
        </row>
        <row r="1779">
          <cell r="D1779" t="str">
            <v>PST0037</v>
          </cell>
        </row>
        <row r="1780">
          <cell r="D1780" t="str">
            <v>PST0038</v>
          </cell>
        </row>
        <row r="1781">
          <cell r="D1781" t="str">
            <v>JCZ0007</v>
          </cell>
        </row>
        <row r="1782">
          <cell r="D1782" t="str">
            <v>JCZ0008</v>
          </cell>
        </row>
        <row r="1783">
          <cell r="D1783" t="str">
            <v>JCZ0009</v>
          </cell>
        </row>
        <row r="1784">
          <cell r="D1784" t="str">
            <v>JCZ0010</v>
          </cell>
        </row>
        <row r="1785">
          <cell r="D1785" t="str">
            <v>JCZ0011</v>
          </cell>
        </row>
        <row r="1786">
          <cell r="D1786" t="str">
            <v>JCZ0012</v>
          </cell>
        </row>
        <row r="1787">
          <cell r="D1787" t="str">
            <v>Dat1093</v>
          </cell>
        </row>
        <row r="1788">
          <cell r="D1788" t="str">
            <v>Dat1094</v>
          </cell>
        </row>
        <row r="1789">
          <cell r="D1789" t="str">
            <v>Dat1095</v>
          </cell>
        </row>
        <row r="1790">
          <cell r="D1790" t="str">
            <v>PHT0005</v>
          </cell>
        </row>
        <row r="1791">
          <cell r="D1791" t="str">
            <v>JCY0006</v>
          </cell>
        </row>
        <row r="1792">
          <cell r="D1792" t="str">
            <v>JCY0007</v>
          </cell>
        </row>
        <row r="1793">
          <cell r="D1793" t="str">
            <v>PGT0001</v>
          </cell>
        </row>
        <row r="1794">
          <cell r="D1794" t="str">
            <v>JCZ0013</v>
          </cell>
        </row>
        <row r="1795">
          <cell r="D1795" t="str">
            <v>NCZ0010</v>
          </cell>
        </row>
        <row r="1796">
          <cell r="D1796" t="str">
            <v>Dat1096</v>
          </cell>
        </row>
        <row r="1797">
          <cell r="D1797" t="str">
            <v>Dat1097</v>
          </cell>
        </row>
        <row r="1798">
          <cell r="D1798" t="str">
            <v>Dat1098</v>
          </cell>
        </row>
        <row r="1799">
          <cell r="D1799" t="str">
            <v>Dat1099</v>
          </cell>
        </row>
        <row r="1800">
          <cell r="D1800" t="str">
            <v>Dat1100</v>
          </cell>
        </row>
        <row r="1801">
          <cell r="D1801" t="str">
            <v>JCY0008</v>
          </cell>
        </row>
        <row r="1802">
          <cell r="D1802" t="str">
            <v>PNT0001</v>
          </cell>
        </row>
        <row r="1803">
          <cell r="D1803" t="str">
            <v>Dat1101</v>
          </cell>
        </row>
        <row r="1804">
          <cell r="D1804" t="str">
            <v>Dat1102</v>
          </cell>
        </row>
        <row r="1805">
          <cell r="D1805" t="str">
            <v>Dat1103</v>
          </cell>
        </row>
        <row r="1806">
          <cell r="D1806" t="str">
            <v>Dat1104</v>
          </cell>
        </row>
        <row r="1807">
          <cell r="D1807" t="str">
            <v>Dat1105</v>
          </cell>
        </row>
        <row r="1808">
          <cell r="D1808" t="str">
            <v>Dat1106</v>
          </cell>
        </row>
        <row r="1809">
          <cell r="D1809" t="str">
            <v>PNT0002</v>
          </cell>
        </row>
        <row r="1810">
          <cell r="D1810" t="str">
            <v>PST0039</v>
          </cell>
        </row>
        <row r="1811">
          <cell r="D1811" t="str">
            <v>JCZ0014</v>
          </cell>
        </row>
        <row r="1812">
          <cell r="D1812" t="str">
            <v>JCZ0015</v>
          </cell>
        </row>
        <row r="1813">
          <cell r="D1813" t="str">
            <v>JCZ0016</v>
          </cell>
        </row>
        <row r="1814">
          <cell r="D1814" t="str">
            <v>JCZ0017</v>
          </cell>
        </row>
        <row r="1815">
          <cell r="D1815" t="str">
            <v>Dat1107</v>
          </cell>
        </row>
        <row r="1816">
          <cell r="D1816" t="str">
            <v>Dat1108</v>
          </cell>
        </row>
        <row r="1817">
          <cell r="D1817" t="str">
            <v>Dat1109</v>
          </cell>
        </row>
        <row r="1818">
          <cell r="D1818" t="str">
            <v>Dat1110</v>
          </cell>
        </row>
        <row r="1819">
          <cell r="D1819" t="str">
            <v>Dat1111</v>
          </cell>
        </row>
        <row r="1820">
          <cell r="D1820" t="str">
            <v>Dat1112</v>
          </cell>
        </row>
        <row r="1821">
          <cell r="D1821" t="str">
            <v>Dat1113</v>
          </cell>
        </row>
        <row r="1822">
          <cell r="D1822" t="str">
            <v>Dat1114</v>
          </cell>
        </row>
        <row r="1823">
          <cell r="D1823" t="str">
            <v>Dat1115</v>
          </cell>
        </row>
        <row r="1824">
          <cell r="D1824" t="str">
            <v>Dat1116</v>
          </cell>
        </row>
        <row r="1825">
          <cell r="D1825" t="str">
            <v>Dat1117</v>
          </cell>
        </row>
        <row r="1826">
          <cell r="D1826" t="str">
            <v>Dat1118</v>
          </cell>
        </row>
        <row r="1827">
          <cell r="D1827" t="str">
            <v>Dat1119</v>
          </cell>
        </row>
        <row r="1828">
          <cell r="D1828" t="str">
            <v>Dat1120</v>
          </cell>
        </row>
        <row r="1829">
          <cell r="D1829" t="str">
            <v>JCZ0018</v>
          </cell>
        </row>
        <row r="1830">
          <cell r="D1830" t="str">
            <v>JCZ0019</v>
          </cell>
        </row>
        <row r="1831">
          <cell r="D1831" t="str">
            <v>JCZ0020</v>
          </cell>
        </row>
        <row r="1832">
          <cell r="D1832" t="str">
            <v>JCZ0021</v>
          </cell>
        </row>
        <row r="1833">
          <cell r="D1833" t="str">
            <v>JCZ0022</v>
          </cell>
        </row>
        <row r="1834">
          <cell r="D1834" t="str">
            <v>JCZ0023</v>
          </cell>
        </row>
        <row r="1835">
          <cell r="D1835" t="str">
            <v>JCZ0024</v>
          </cell>
        </row>
        <row r="1836">
          <cell r="D1836" t="str">
            <v>JCZ0025</v>
          </cell>
        </row>
        <row r="1837">
          <cell r="D1837" t="str">
            <v>PNT0003</v>
          </cell>
        </row>
        <row r="1838">
          <cell r="D1838" t="str">
            <v>PNT0004</v>
          </cell>
        </row>
        <row r="1839">
          <cell r="D1839" t="str">
            <v/>
          </cell>
        </row>
        <row r="1840">
          <cell r="D1840" t="str">
            <v/>
          </cell>
        </row>
        <row r="1841">
          <cell r="D1841" t="str">
            <v/>
          </cell>
        </row>
        <row r="1842">
          <cell r="D1842" t="str">
            <v>PST0040</v>
          </cell>
        </row>
        <row r="1843">
          <cell r="D1843" t="str">
            <v>PST0041</v>
          </cell>
        </row>
        <row r="1844">
          <cell r="D1844" t="str">
            <v>PST0042</v>
          </cell>
        </row>
        <row r="1845">
          <cell r="D1845" t="str">
            <v>PST0043</v>
          </cell>
        </row>
        <row r="1846">
          <cell r="D1846" t="str">
            <v>PST0044</v>
          </cell>
        </row>
        <row r="1847">
          <cell r="D1847" t="str">
            <v>NCZ0011</v>
          </cell>
        </row>
        <row r="1848">
          <cell r="D1848" t="str">
            <v>PHT0006</v>
          </cell>
        </row>
        <row r="1849">
          <cell r="D1849" t="str">
            <v>NCZ0012</v>
          </cell>
        </row>
        <row r="1850">
          <cell r="D1850" t="str">
            <v>Dat1121</v>
          </cell>
        </row>
        <row r="1851">
          <cell r="D1851" t="str">
            <v>Dat1122</v>
          </cell>
        </row>
        <row r="1852">
          <cell r="D1852" t="str">
            <v>Dat1123</v>
          </cell>
        </row>
        <row r="1853">
          <cell r="D1853" t="str">
            <v>Dat1124</v>
          </cell>
        </row>
        <row r="1854">
          <cell r="D1854" t="str">
            <v>Dat1125</v>
          </cell>
        </row>
        <row r="1855">
          <cell r="D1855" t="str">
            <v>Dat1126</v>
          </cell>
        </row>
        <row r="1856">
          <cell r="D1856" t="str">
            <v>PX0141</v>
          </cell>
        </row>
        <row r="1857">
          <cell r="D1857" t="str">
            <v>PX0142</v>
          </cell>
        </row>
        <row r="1858">
          <cell r="D1858" t="str">
            <v>PX0143</v>
          </cell>
        </row>
        <row r="1859">
          <cell r="D1859" t="str">
            <v>PX0144</v>
          </cell>
        </row>
        <row r="1860">
          <cell r="D1860" t="str">
            <v>PX0145</v>
          </cell>
        </row>
        <row r="1861">
          <cell r="D1861" t="str">
            <v>PHT0007</v>
          </cell>
        </row>
        <row r="1862">
          <cell r="D1862" t="str">
            <v>PST0045</v>
          </cell>
        </row>
        <row r="1863">
          <cell r="D1863" t="str">
            <v>Dat1127</v>
          </cell>
        </row>
        <row r="1864">
          <cell r="D1864" t="str">
            <v>Dat1128</v>
          </cell>
        </row>
        <row r="1865">
          <cell r="D1865" t="str">
            <v>Dat1129</v>
          </cell>
        </row>
        <row r="1866">
          <cell r="D1866" t="str">
            <v>Dat1130</v>
          </cell>
        </row>
        <row r="1867">
          <cell r="D1867" t="str">
            <v>NCZ0013</v>
          </cell>
        </row>
        <row r="1868">
          <cell r="D1868" t="str">
            <v>NCZ0014</v>
          </cell>
        </row>
        <row r="1869">
          <cell r="D1869" t="str">
            <v>PX0146</v>
          </cell>
        </row>
        <row r="1870">
          <cell r="D1870" t="str">
            <v>PX0147</v>
          </cell>
        </row>
        <row r="1871">
          <cell r="D1871" t="str">
            <v>PX0148</v>
          </cell>
        </row>
        <row r="1872">
          <cell r="D1872" t="str">
            <v>PX0149</v>
          </cell>
        </row>
        <row r="1873">
          <cell r="D1873" t="str">
            <v>PX0150</v>
          </cell>
        </row>
        <row r="1874">
          <cell r="D1874" t="str">
            <v>Dat1131</v>
          </cell>
        </row>
        <row r="1875">
          <cell r="D1875" t="str">
            <v>Dat1132</v>
          </cell>
        </row>
        <row r="1876">
          <cell r="D1876" t="str">
            <v>Dat1133</v>
          </cell>
        </row>
        <row r="1877">
          <cell r="D1877" t="str">
            <v>Dat1134</v>
          </cell>
        </row>
        <row r="1878">
          <cell r="D1878" t="str">
            <v>Dat1135</v>
          </cell>
        </row>
        <row r="1879">
          <cell r="D1879" t="str">
            <v>Dat1136</v>
          </cell>
        </row>
        <row r="1880">
          <cell r="D1880" t="str">
            <v>Dat1137</v>
          </cell>
        </row>
        <row r="1881">
          <cell r="D1881" t="str">
            <v>PXT0001</v>
          </cell>
        </row>
        <row r="1882">
          <cell r="D1882" t="str">
            <v>PXT0002</v>
          </cell>
        </row>
        <row r="1883">
          <cell r="D1883" t="str">
            <v>PXT0003</v>
          </cell>
        </row>
        <row r="1884">
          <cell r="D1884" t="str">
            <v>PXT0004</v>
          </cell>
        </row>
        <row r="1885">
          <cell r="D1885" t="str">
            <v>PXT0005</v>
          </cell>
        </row>
        <row r="1886">
          <cell r="D1886" t="str">
            <v>NCZ0015</v>
          </cell>
        </row>
        <row r="1887">
          <cell r="D1887" t="str">
            <v>NCZ0016</v>
          </cell>
        </row>
        <row r="1888">
          <cell r="D1888" t="str">
            <v>PX0151</v>
          </cell>
        </row>
        <row r="1889">
          <cell r="D1889" t="str">
            <v>PX0152</v>
          </cell>
        </row>
        <row r="1890">
          <cell r="D1890" t="str">
            <v>PX0153</v>
          </cell>
        </row>
        <row r="1891">
          <cell r="D1891" t="str">
            <v>PX0154</v>
          </cell>
        </row>
        <row r="1892">
          <cell r="D1892" t="str">
            <v>PX0155</v>
          </cell>
        </row>
        <row r="1893">
          <cell r="D1893" t="str">
            <v>PHT0008</v>
          </cell>
        </row>
        <row r="1894">
          <cell r="D1894" t="str">
            <v>Dat1138</v>
          </cell>
        </row>
        <row r="1895">
          <cell r="D1895" t="str">
            <v>Dat1139</v>
          </cell>
        </row>
        <row r="1896">
          <cell r="D1896" t="str">
            <v>Dat1140</v>
          </cell>
        </row>
        <row r="1897">
          <cell r="D1897" t="str">
            <v>Dat1141</v>
          </cell>
        </row>
        <row r="1898">
          <cell r="D1898" t="str">
            <v>Dat1142</v>
          </cell>
        </row>
        <row r="1899">
          <cell r="D1899" t="str">
            <v>Dat1143</v>
          </cell>
        </row>
        <row r="1900">
          <cell r="D1900" t="str">
            <v>Dat1144</v>
          </cell>
        </row>
        <row r="1901">
          <cell r="D1901" t="str">
            <v>Dat1145</v>
          </cell>
        </row>
        <row r="1902">
          <cell r="D1902" t="str">
            <v>Dat1146</v>
          </cell>
        </row>
        <row r="1903">
          <cell r="D1903" t="str">
            <v>Dat1147</v>
          </cell>
        </row>
        <row r="1904">
          <cell r="D1904" t="str">
            <v>Dat1148</v>
          </cell>
        </row>
        <row r="1905">
          <cell r="D1905" t="str">
            <v>Dat1149</v>
          </cell>
        </row>
        <row r="1906">
          <cell r="D1906" t="str">
            <v>PX0156</v>
          </cell>
        </row>
        <row r="1907">
          <cell r="D1907" t="str">
            <v>PX0157</v>
          </cell>
        </row>
        <row r="1908">
          <cell r="D1908" t="str">
            <v>PXT0006</v>
          </cell>
        </row>
        <row r="1909">
          <cell r="D1909" t="str">
            <v>PX0158</v>
          </cell>
        </row>
        <row r="1910">
          <cell r="D1910" t="str">
            <v>Dat1150</v>
          </cell>
        </row>
        <row r="1911">
          <cell r="D1911" t="str">
            <v>Dat1151</v>
          </cell>
        </row>
        <row r="1912">
          <cell r="D1912" t="str">
            <v>Dat1152</v>
          </cell>
        </row>
        <row r="1913">
          <cell r="D1913" t="str">
            <v>Dat1153</v>
          </cell>
        </row>
        <row r="1914">
          <cell r="D1914" t="str">
            <v>Dat1154</v>
          </cell>
        </row>
        <row r="1915">
          <cell r="D1915" t="str">
            <v>Dat1155</v>
          </cell>
        </row>
        <row r="1916">
          <cell r="D1916" t="str">
            <v>Dat1156</v>
          </cell>
        </row>
        <row r="1917">
          <cell r="D1917" t="str">
            <v>Dat1157</v>
          </cell>
        </row>
        <row r="1918">
          <cell r="D1918" t="str">
            <v>PX0159</v>
          </cell>
        </row>
        <row r="1919">
          <cell r="D1919" t="str">
            <v>PX0160</v>
          </cell>
        </row>
        <row r="1920">
          <cell r="D1920" t="str">
            <v>PX0161</v>
          </cell>
        </row>
        <row r="1921">
          <cell r="D1921" t="str">
            <v>PX0162</v>
          </cell>
        </row>
        <row r="1922">
          <cell r="D1922" t="str">
            <v>PX0163</v>
          </cell>
        </row>
        <row r="1923">
          <cell r="D1923" t="str">
            <v>PX0164</v>
          </cell>
        </row>
        <row r="1924">
          <cell r="D1924" t="str">
            <v>PX0165</v>
          </cell>
        </row>
        <row r="1925">
          <cell r="D1925" t="str">
            <v>NCZ0017</v>
          </cell>
        </row>
        <row r="1926">
          <cell r="D1926" t="str">
            <v>PXT0007</v>
          </cell>
        </row>
        <row r="1927">
          <cell r="D1927" t="str">
            <v>PXT0008</v>
          </cell>
        </row>
        <row r="1928">
          <cell r="D1928" t="str">
            <v>PX0166</v>
          </cell>
        </row>
        <row r="1929">
          <cell r="D1929" t="str">
            <v>PX0167</v>
          </cell>
        </row>
        <row r="1930">
          <cell r="D1930" t="str">
            <v>PX0168</v>
          </cell>
        </row>
        <row r="1931">
          <cell r="D1931" t="str">
            <v>PX0169</v>
          </cell>
        </row>
        <row r="1932">
          <cell r="D1932" t="str">
            <v>PX0170</v>
          </cell>
        </row>
        <row r="1933">
          <cell r="D1933" t="str">
            <v>Dat1158</v>
          </cell>
        </row>
        <row r="1934">
          <cell r="D1934" t="str">
            <v>Dat1159</v>
          </cell>
        </row>
        <row r="1935">
          <cell r="D1935" t="str">
            <v>Dat1160</v>
          </cell>
        </row>
        <row r="1936">
          <cell r="D1936" t="str">
            <v>Dat1161</v>
          </cell>
        </row>
        <row r="1937">
          <cell r="D1937" t="str">
            <v>Dat1162</v>
          </cell>
        </row>
        <row r="1938">
          <cell r="D1938" t="str">
            <v>Dat1163</v>
          </cell>
        </row>
        <row r="1939">
          <cell r="D1939" t="str">
            <v>Dat1164</v>
          </cell>
        </row>
        <row r="1940">
          <cell r="D1940" t="str">
            <v>Dat1165</v>
          </cell>
        </row>
        <row r="1941">
          <cell r="D1941" t="str">
            <v>Dat1166</v>
          </cell>
        </row>
        <row r="1942">
          <cell r="D1942" t="str">
            <v>Dat1167</v>
          </cell>
        </row>
        <row r="1943">
          <cell r="D1943" t="str">
            <v>Dat1168</v>
          </cell>
        </row>
        <row r="1944">
          <cell r="D1944" t="str">
            <v>Dat1169</v>
          </cell>
        </row>
        <row r="1945">
          <cell r="D1945" t="str">
            <v>Dat1170</v>
          </cell>
        </row>
        <row r="1946">
          <cell r="D1946" t="str">
            <v>Dat1171</v>
          </cell>
        </row>
        <row r="1947">
          <cell r="D1947" t="str">
            <v>Dat1172</v>
          </cell>
        </row>
        <row r="1948">
          <cell r="D1948" t="str">
            <v>Dat1173</v>
          </cell>
        </row>
        <row r="1949">
          <cell r="D1949" t="str">
            <v>Dat1174</v>
          </cell>
        </row>
        <row r="1950">
          <cell r="D1950" t="str">
            <v>Dat1175</v>
          </cell>
        </row>
        <row r="1951">
          <cell r="D1951" t="str">
            <v>Dat1176</v>
          </cell>
        </row>
        <row r="1952">
          <cell r="D1952" t="str">
            <v>Dat1177</v>
          </cell>
        </row>
        <row r="1953">
          <cell r="D1953" t="str">
            <v>Dat1178</v>
          </cell>
        </row>
        <row r="1954">
          <cell r="D1954" t="str">
            <v>PX0171</v>
          </cell>
        </row>
        <row r="1955">
          <cell r="D1955" t="str">
            <v>PX0172</v>
          </cell>
        </row>
        <row r="1956">
          <cell r="D1956" t="str">
            <v>PX0173</v>
          </cell>
        </row>
        <row r="1957">
          <cell r="D1957" t="str">
            <v>PX0174</v>
          </cell>
        </row>
        <row r="1958">
          <cell r="D1958" t="str">
            <v>PX0175</v>
          </cell>
        </row>
        <row r="1959">
          <cell r="D1959" t="str">
            <v>PX0176</v>
          </cell>
        </row>
        <row r="1960">
          <cell r="D1960" t="str">
            <v>PX0177</v>
          </cell>
        </row>
        <row r="1961">
          <cell r="D1961" t="str">
            <v>PXT0009</v>
          </cell>
        </row>
        <row r="1962">
          <cell r="D1962" t="str">
            <v>PXT0010</v>
          </cell>
        </row>
        <row r="1963">
          <cell r="D1963" t="str">
            <v>PXT0011</v>
          </cell>
        </row>
        <row r="1964">
          <cell r="D1964" t="str">
            <v>PXT0012</v>
          </cell>
        </row>
        <row r="1965">
          <cell r="D1965" t="str">
            <v>PXT0013</v>
          </cell>
        </row>
        <row r="1966">
          <cell r="D1966" t="str">
            <v>PXT0014</v>
          </cell>
        </row>
        <row r="1967">
          <cell r="D1967" t="str">
            <v>PXT0015</v>
          </cell>
        </row>
        <row r="1968">
          <cell r="D1968" t="str">
            <v>JCY0009</v>
          </cell>
        </row>
        <row r="1969">
          <cell r="D1969" t="str">
            <v>JCY0010</v>
          </cell>
        </row>
        <row r="1970">
          <cell r="D1970" t="str">
            <v>JCY0011</v>
          </cell>
        </row>
        <row r="1971">
          <cell r="D1971" t="str">
            <v>PHT0009</v>
          </cell>
        </row>
        <row r="1972">
          <cell r="D1972" t="str">
            <v>PHT0010</v>
          </cell>
        </row>
        <row r="1973">
          <cell r="D1973" t="str">
            <v>NCZ0018</v>
          </cell>
        </row>
        <row r="1974">
          <cell r="D1974" t="str">
            <v>NCZ0019</v>
          </cell>
        </row>
        <row r="1975">
          <cell r="D1975" t="str">
            <v>PX0178</v>
          </cell>
        </row>
        <row r="1976">
          <cell r="D1976" t="str">
            <v>PX0179</v>
          </cell>
        </row>
        <row r="1977">
          <cell r="D1977" t="str">
            <v>PX0180</v>
          </cell>
        </row>
        <row r="1978">
          <cell r="D1978" t="str">
            <v>PXT0016</v>
          </cell>
        </row>
        <row r="1979">
          <cell r="D1979" t="str">
            <v>PX0181</v>
          </cell>
        </row>
        <row r="1980">
          <cell r="D1980" t="str">
            <v>Dat1179</v>
          </cell>
        </row>
        <row r="1981">
          <cell r="D1981" t="str">
            <v>Dat1180</v>
          </cell>
        </row>
        <row r="1982">
          <cell r="D1982" t="str">
            <v>Dat1181</v>
          </cell>
        </row>
        <row r="1983">
          <cell r="D1983" t="str">
            <v>Dat1182</v>
          </cell>
        </row>
        <row r="1984">
          <cell r="D1984" t="str">
            <v>Dat1183</v>
          </cell>
        </row>
        <row r="1985">
          <cell r="D1985" t="str">
            <v>Dat1184</v>
          </cell>
        </row>
        <row r="1986">
          <cell r="D1986" t="str">
            <v>Dat1185</v>
          </cell>
        </row>
        <row r="1987">
          <cell r="D1987" t="str">
            <v>Dat1186</v>
          </cell>
        </row>
        <row r="1988">
          <cell r="D1988" t="str">
            <v>Dat1187</v>
          </cell>
        </row>
        <row r="1989">
          <cell r="D1989" t="str">
            <v>Dat1188</v>
          </cell>
        </row>
        <row r="1990">
          <cell r="D1990" t="str">
            <v>Dat1189</v>
          </cell>
        </row>
        <row r="1991">
          <cell r="D1991" t="str">
            <v>Dat1190</v>
          </cell>
        </row>
        <row r="1992">
          <cell r="D1992" t="str">
            <v>PX0182</v>
          </cell>
        </row>
        <row r="1993">
          <cell r="D1993" t="str">
            <v>PX0183</v>
          </cell>
        </row>
        <row r="1994">
          <cell r="D1994" t="str">
            <v>PX0184</v>
          </cell>
        </row>
        <row r="1995">
          <cell r="D1995" t="str">
            <v>PX0185</v>
          </cell>
        </row>
        <row r="1996">
          <cell r="D1996" t="str">
            <v>PX0186</v>
          </cell>
        </row>
        <row r="1997">
          <cell r="D1997" t="str">
            <v>PX0187</v>
          </cell>
        </row>
        <row r="1998">
          <cell r="D1998" t="str">
            <v>PXT0017</v>
          </cell>
        </row>
        <row r="1999">
          <cell r="D1999" t="str">
            <v>PXT0018</v>
          </cell>
        </row>
        <row r="2000">
          <cell r="D2000" t="str">
            <v>PXT0019</v>
          </cell>
        </row>
        <row r="2001">
          <cell r="D2001" t="str">
            <v>PX0188</v>
          </cell>
        </row>
        <row r="2002">
          <cell r="D2002" t="str">
            <v>PX0189</v>
          </cell>
        </row>
        <row r="2003">
          <cell r="D2003" t="str">
            <v>PX0190</v>
          </cell>
        </row>
        <row r="2004">
          <cell r="D2004" t="str">
            <v>PX0191</v>
          </cell>
        </row>
        <row r="2005">
          <cell r="D2005" t="str">
            <v>Dat1191</v>
          </cell>
        </row>
        <row r="2006">
          <cell r="D2006" t="str">
            <v>Dat1192</v>
          </cell>
        </row>
        <row r="2007">
          <cell r="D2007" t="str">
            <v>Dat1193</v>
          </cell>
        </row>
        <row r="2008">
          <cell r="D2008" t="str">
            <v>Dat1194</v>
          </cell>
        </row>
        <row r="2009">
          <cell r="D2009" t="str">
            <v>Dat1195</v>
          </cell>
        </row>
        <row r="2010">
          <cell r="D2010" t="str">
            <v>Dat1196</v>
          </cell>
        </row>
        <row r="2011">
          <cell r="D2011" t="str">
            <v>Dat1197</v>
          </cell>
        </row>
        <row r="2012">
          <cell r="D2012" t="str">
            <v>Dat1198</v>
          </cell>
        </row>
        <row r="2013">
          <cell r="D2013" t="str">
            <v>Dat1199</v>
          </cell>
        </row>
        <row r="2014">
          <cell r="D2014" t="str">
            <v>Dat1200</v>
          </cell>
        </row>
        <row r="2015">
          <cell r="D2015" t="str">
            <v>Dat1201</v>
          </cell>
        </row>
        <row r="2016">
          <cell r="D2016" t="str">
            <v>Dat1202</v>
          </cell>
        </row>
        <row r="2017">
          <cell r="D2017" t="str">
            <v>Dat1203</v>
          </cell>
        </row>
        <row r="2018">
          <cell r="D2018" t="str">
            <v>Dat1204</v>
          </cell>
        </row>
        <row r="2019">
          <cell r="D2019" t="str">
            <v>Dat1205</v>
          </cell>
        </row>
        <row r="2020">
          <cell r="D2020" t="str">
            <v>PXT0020</v>
          </cell>
        </row>
        <row r="2021">
          <cell r="D2021" t="str">
            <v>PX0192</v>
          </cell>
        </row>
        <row r="2022">
          <cell r="D2022" t="str">
            <v>PX0193</v>
          </cell>
        </row>
        <row r="2023">
          <cell r="D2023" t="str">
            <v>PX0194</v>
          </cell>
        </row>
        <row r="2024">
          <cell r="D2024" t="str">
            <v>PX0195</v>
          </cell>
        </row>
        <row r="2025">
          <cell r="D2025" t="str">
            <v>PX0196</v>
          </cell>
        </row>
        <row r="2026">
          <cell r="D2026" t="str">
            <v>PNT0005</v>
          </cell>
        </row>
        <row r="2027">
          <cell r="D2027" t="str">
            <v>Dat1206</v>
          </cell>
        </row>
        <row r="2028">
          <cell r="D2028" t="str">
            <v>Dat1207</v>
          </cell>
        </row>
        <row r="2029">
          <cell r="D2029" t="str">
            <v>Dat1208</v>
          </cell>
        </row>
        <row r="2030">
          <cell r="D2030" t="str">
            <v>Dat1209</v>
          </cell>
        </row>
        <row r="2031">
          <cell r="D2031" t="str">
            <v>Dat1210</v>
          </cell>
        </row>
        <row r="2032">
          <cell r="D2032" t="str">
            <v>PXT0021</v>
          </cell>
        </row>
        <row r="2033">
          <cell r="D2033" t="str">
            <v>PNT0006</v>
          </cell>
        </row>
        <row r="2034">
          <cell r="D2034" t="str">
            <v>GPS0001</v>
          </cell>
        </row>
        <row r="2035">
          <cell r="D2035" t="str">
            <v>GPS0002</v>
          </cell>
        </row>
        <row r="2036">
          <cell r="D2036" t="str">
            <v>Dat1211</v>
          </cell>
        </row>
        <row r="2037">
          <cell r="D2037" t="str">
            <v>Dat1212</v>
          </cell>
        </row>
        <row r="2038">
          <cell r="D2038" t="str">
            <v>Dat1213</v>
          </cell>
        </row>
        <row r="2039">
          <cell r="D2039" t="str">
            <v>Dat1214</v>
          </cell>
        </row>
        <row r="2040">
          <cell r="D2040" t="str">
            <v>Dat1215</v>
          </cell>
        </row>
        <row r="2041">
          <cell r="D2041" t="str">
            <v>Dat1216</v>
          </cell>
        </row>
        <row r="2042">
          <cell r="D2042" t="str">
            <v>Dat1217</v>
          </cell>
        </row>
        <row r="2043">
          <cell r="D2043" t="str">
            <v>Dat1218</v>
          </cell>
        </row>
        <row r="2044">
          <cell r="D2044" t="str">
            <v>Dat1219</v>
          </cell>
        </row>
        <row r="2045">
          <cell r="D2045" t="str">
            <v>Dat1220</v>
          </cell>
        </row>
        <row r="2046">
          <cell r="D2046" t="str">
            <v>Dat1221</v>
          </cell>
        </row>
        <row r="2047">
          <cell r="D2047" t="str">
            <v>Dat1222</v>
          </cell>
        </row>
        <row r="2048">
          <cell r="D2048" t="str">
            <v>Dat1223</v>
          </cell>
        </row>
        <row r="2049">
          <cell r="D2049" t="str">
            <v>Dat1224</v>
          </cell>
        </row>
        <row r="2050">
          <cell r="D2050" t="str">
            <v>Dat1225</v>
          </cell>
        </row>
        <row r="2051">
          <cell r="D2051" t="str">
            <v>Dat1226</v>
          </cell>
        </row>
        <row r="2052">
          <cell r="D2052" t="str">
            <v>Dat1227</v>
          </cell>
        </row>
        <row r="2053">
          <cell r="D2053" t="str">
            <v>Dat1228</v>
          </cell>
        </row>
        <row r="2054">
          <cell r="D2054" t="str">
            <v>Dat1229</v>
          </cell>
        </row>
        <row r="2055">
          <cell r="D2055" t="str">
            <v>Dat1230</v>
          </cell>
        </row>
        <row r="2056">
          <cell r="D2056" t="str">
            <v>PX0197</v>
          </cell>
        </row>
        <row r="2057">
          <cell r="D2057" t="str">
            <v>Dat1231</v>
          </cell>
        </row>
        <row r="2058">
          <cell r="D2058" t="str">
            <v>Dat1232</v>
          </cell>
        </row>
        <row r="2059">
          <cell r="D2059" t="str">
            <v>Dat1233</v>
          </cell>
        </row>
        <row r="2060">
          <cell r="D2060" t="str">
            <v>Dat1234</v>
          </cell>
        </row>
        <row r="2061">
          <cell r="D2061" t="str">
            <v>Dat1235</v>
          </cell>
        </row>
        <row r="2062">
          <cell r="D2062" t="str">
            <v>Dat1236</v>
          </cell>
        </row>
        <row r="2063">
          <cell r="D2063" t="str">
            <v>Dat1237</v>
          </cell>
        </row>
        <row r="2064">
          <cell r="D2064" t="str">
            <v>Dat1238</v>
          </cell>
        </row>
        <row r="2065">
          <cell r="D2065" t="str">
            <v>Dat1239</v>
          </cell>
        </row>
        <row r="2066">
          <cell r="D2066" t="str">
            <v>Dat1240</v>
          </cell>
        </row>
        <row r="2067">
          <cell r="D2067" t="str">
            <v>Dat1241</v>
          </cell>
        </row>
        <row r="2068">
          <cell r="D2068" t="str">
            <v>Dat1242</v>
          </cell>
        </row>
        <row r="2069">
          <cell r="D2069" t="str">
            <v>Dat1243</v>
          </cell>
        </row>
        <row r="2070">
          <cell r="D2070" t="str">
            <v>Dat1244</v>
          </cell>
        </row>
        <row r="2071">
          <cell r="D2071" t="str">
            <v>Dat1245</v>
          </cell>
        </row>
        <row r="2072">
          <cell r="D2072" t="str">
            <v>Dat1246</v>
          </cell>
        </row>
        <row r="2073">
          <cell r="D2073" t="str">
            <v>Dat1247</v>
          </cell>
        </row>
        <row r="2074">
          <cell r="D2074" t="str">
            <v>Dat1248</v>
          </cell>
        </row>
        <row r="2075">
          <cell r="D2075" t="str">
            <v>Dat1249</v>
          </cell>
        </row>
        <row r="2076">
          <cell r="D2076" t="str">
            <v>Dat1250</v>
          </cell>
        </row>
        <row r="2077">
          <cell r="D2077" t="str">
            <v>Dat1251</v>
          </cell>
        </row>
        <row r="2078">
          <cell r="D2078" t="str">
            <v>Dat1252</v>
          </cell>
        </row>
        <row r="2079">
          <cell r="D2079" t="str">
            <v>Dat1253</v>
          </cell>
        </row>
        <row r="2080">
          <cell r="D2080" t="str">
            <v>Dat1254</v>
          </cell>
        </row>
        <row r="2081">
          <cell r="D2081" t="str">
            <v>Dat1255</v>
          </cell>
        </row>
        <row r="2082">
          <cell r="D2082" t="str">
            <v>PX0198</v>
          </cell>
        </row>
        <row r="2083">
          <cell r="D2083" t="str">
            <v>PX0199</v>
          </cell>
        </row>
        <row r="2084">
          <cell r="D2084" t="str">
            <v>PX0200</v>
          </cell>
        </row>
        <row r="2085">
          <cell r="D2085" t="str">
            <v>PX0201</v>
          </cell>
        </row>
        <row r="2086">
          <cell r="D2086" t="str">
            <v>PX0202</v>
          </cell>
        </row>
        <row r="2087">
          <cell r="D2087" t="str">
            <v>PX0203</v>
          </cell>
        </row>
        <row r="2088">
          <cell r="D2088" t="str">
            <v>PX0204</v>
          </cell>
        </row>
        <row r="2089">
          <cell r="D2089" t="str">
            <v>PX0205</v>
          </cell>
        </row>
        <row r="2090">
          <cell r="D2090" t="str">
            <v>PX0206</v>
          </cell>
        </row>
        <row r="2091">
          <cell r="D2091" t="str">
            <v>PX0207</v>
          </cell>
        </row>
        <row r="2092">
          <cell r="D2092" t="str">
            <v>PX0208</v>
          </cell>
        </row>
        <row r="2093">
          <cell r="D2093" t="str">
            <v>PX0209</v>
          </cell>
        </row>
        <row r="2094">
          <cell r="D2094" t="str">
            <v>PX0210</v>
          </cell>
        </row>
        <row r="2095">
          <cell r="D2095" t="str">
            <v>PXT0022</v>
          </cell>
        </row>
        <row r="2096">
          <cell r="D2096" t="str">
            <v>PXT0023</v>
          </cell>
        </row>
        <row r="2097">
          <cell r="D2097" t="str">
            <v>PXT0024</v>
          </cell>
        </row>
        <row r="2098">
          <cell r="D2098" t="str">
            <v>PXT0025</v>
          </cell>
        </row>
        <row r="2099">
          <cell r="D2099" t="str">
            <v>PXT0026</v>
          </cell>
        </row>
        <row r="2100">
          <cell r="D2100" t="str">
            <v>PXT0027</v>
          </cell>
        </row>
        <row r="2101">
          <cell r="D2101" t="str">
            <v>PXT0028</v>
          </cell>
        </row>
        <row r="2102">
          <cell r="D2102" t="str">
            <v>PXT0029</v>
          </cell>
        </row>
        <row r="2103">
          <cell r="D2103" t="str">
            <v>PXT0030</v>
          </cell>
        </row>
        <row r="2104">
          <cell r="D2104" t="str">
            <v>PXT0031</v>
          </cell>
        </row>
        <row r="2105">
          <cell r="D2105" t="str">
            <v>NCZ0020</v>
          </cell>
        </row>
        <row r="2106">
          <cell r="D2106" t="str">
            <v>NCZ0021</v>
          </cell>
        </row>
        <row r="2107">
          <cell r="D2107" t="str">
            <v>NCZ0022</v>
          </cell>
        </row>
        <row r="2108">
          <cell r="D2108" t="str">
            <v>NCZ0023</v>
          </cell>
        </row>
        <row r="2109">
          <cell r="D2109" t="str">
            <v>NCZ0024</v>
          </cell>
        </row>
        <row r="2110">
          <cell r="D2110" t="str">
            <v>PNT0007</v>
          </cell>
        </row>
        <row r="2111">
          <cell r="D2111" t="str">
            <v>PNT0008</v>
          </cell>
        </row>
        <row r="2112">
          <cell r="D2112" t="str">
            <v>PNT0009</v>
          </cell>
        </row>
        <row r="2113">
          <cell r="D2113" t="str">
            <v>Dat1256</v>
          </cell>
        </row>
        <row r="2114">
          <cell r="D2114" t="str">
            <v>Dat1257</v>
          </cell>
        </row>
        <row r="2115">
          <cell r="D2115" t="str">
            <v>Dat1258</v>
          </cell>
        </row>
        <row r="2116">
          <cell r="D2116" t="str">
            <v>Dat1259</v>
          </cell>
        </row>
        <row r="2117">
          <cell r="D2117" t="str">
            <v>Dat1260</v>
          </cell>
        </row>
        <row r="2118">
          <cell r="D2118" t="str">
            <v>Dat1261</v>
          </cell>
        </row>
        <row r="2119">
          <cell r="D2119" t="str">
            <v>Dat1262</v>
          </cell>
        </row>
        <row r="2120">
          <cell r="D2120" t="str">
            <v>Dat1263</v>
          </cell>
        </row>
        <row r="2121">
          <cell r="D2121" t="str">
            <v>Dat1264</v>
          </cell>
        </row>
        <row r="2122">
          <cell r="D2122" t="str">
            <v>Dat1265</v>
          </cell>
        </row>
        <row r="2123">
          <cell r="D2123" t="str">
            <v>Dat1266</v>
          </cell>
        </row>
        <row r="2124">
          <cell r="D2124" t="str">
            <v>Dat1267</v>
          </cell>
        </row>
        <row r="2125">
          <cell r="D2125" t="str">
            <v>Dat1268</v>
          </cell>
        </row>
        <row r="2126">
          <cell r="D2126" t="str">
            <v>Dat1269</v>
          </cell>
        </row>
        <row r="2127">
          <cell r="D2127" t="str">
            <v>Dat1270</v>
          </cell>
        </row>
        <row r="2128">
          <cell r="D2128" t="str">
            <v>PX0211</v>
          </cell>
        </row>
        <row r="2129">
          <cell r="D2129" t="str">
            <v>PX0212</v>
          </cell>
        </row>
        <row r="2130">
          <cell r="D2130" t="str">
            <v>PX0213</v>
          </cell>
        </row>
        <row r="2131">
          <cell r="D2131" t="str">
            <v>PX0214</v>
          </cell>
        </row>
        <row r="2132">
          <cell r="D2132" t="str">
            <v>PX0215</v>
          </cell>
        </row>
        <row r="2133">
          <cell r="D2133" t="str">
            <v>PX0216</v>
          </cell>
        </row>
        <row r="2134">
          <cell r="D2134" t="str">
            <v>PX0217</v>
          </cell>
        </row>
        <row r="2135">
          <cell r="D2135" t="str">
            <v>PX0218</v>
          </cell>
        </row>
        <row r="2136">
          <cell r="D2136" t="str">
            <v>PX0219</v>
          </cell>
        </row>
        <row r="2137">
          <cell r="D2137" t="str">
            <v>PX0220</v>
          </cell>
        </row>
        <row r="2138">
          <cell r="D2138" t="str">
            <v>Dat1271</v>
          </cell>
        </row>
        <row r="2139">
          <cell r="D2139" t="str">
            <v>Dat1272</v>
          </cell>
        </row>
        <row r="2140">
          <cell r="D2140" t="str">
            <v>Dat1273</v>
          </cell>
        </row>
        <row r="2141">
          <cell r="D2141" t="str">
            <v>Dat1274</v>
          </cell>
        </row>
        <row r="2142">
          <cell r="D2142" t="str">
            <v>Dat1275</v>
          </cell>
        </row>
        <row r="2143">
          <cell r="D2143" t="str">
            <v>Dat1276</v>
          </cell>
        </row>
        <row r="2144">
          <cell r="D2144" t="str">
            <v>Dat1277</v>
          </cell>
        </row>
        <row r="2145">
          <cell r="D2145" t="str">
            <v>Dat1278</v>
          </cell>
        </row>
        <row r="2146">
          <cell r="D2146" t="str">
            <v>Dat1279</v>
          </cell>
        </row>
        <row r="2147">
          <cell r="D2147" t="str">
            <v>Dat1280</v>
          </cell>
        </row>
        <row r="2148">
          <cell r="D2148" t="str">
            <v>NCZ0025</v>
          </cell>
        </row>
        <row r="2149">
          <cell r="D2149" t="str">
            <v>PXT0032</v>
          </cell>
        </row>
        <row r="2150">
          <cell r="D2150" t="str">
            <v>Dat1281</v>
          </cell>
        </row>
        <row r="2151">
          <cell r="D2151" t="str">
            <v>NCZ0026</v>
          </cell>
        </row>
        <row r="2152">
          <cell r="D2152" t="str">
            <v>PXT0033</v>
          </cell>
        </row>
        <row r="2153">
          <cell r="D2153" t="str">
            <v>PXT0034</v>
          </cell>
        </row>
        <row r="2154">
          <cell r="D2154" t="str">
            <v>PHT0011</v>
          </cell>
        </row>
        <row r="2155">
          <cell r="D2155" t="str">
            <v>NCZ0027</v>
          </cell>
        </row>
        <row r="2156">
          <cell r="D2156" t="str">
            <v>PX0221</v>
          </cell>
        </row>
        <row r="2157">
          <cell r="D2157" t="str">
            <v>PXT0035</v>
          </cell>
        </row>
        <row r="2158">
          <cell r="D2158" t="str">
            <v>PXT0036</v>
          </cell>
        </row>
        <row r="2159">
          <cell r="D2159" t="str">
            <v>PHT0012</v>
          </cell>
        </row>
        <row r="2160">
          <cell r="D2160" t="str">
            <v>Dat1282</v>
          </cell>
        </row>
        <row r="2161">
          <cell r="D2161" t="str">
            <v>Dat1283</v>
          </cell>
        </row>
        <row r="2162">
          <cell r="D2162" t="str">
            <v>Dat1284</v>
          </cell>
        </row>
        <row r="2163">
          <cell r="D2163" t="str">
            <v>Dat1285</v>
          </cell>
        </row>
        <row r="2164">
          <cell r="D2164" t="str">
            <v>Dat1286</v>
          </cell>
        </row>
        <row r="2165">
          <cell r="D2165" t="str">
            <v>Dat1287</v>
          </cell>
        </row>
        <row r="2166">
          <cell r="D2166" t="str">
            <v>Dat1288</v>
          </cell>
        </row>
        <row r="2167">
          <cell r="D2167" t="str">
            <v>Dat1289</v>
          </cell>
        </row>
        <row r="2168">
          <cell r="D2168" t="str">
            <v>Dat1290</v>
          </cell>
        </row>
        <row r="2169">
          <cell r="D2169" t="str">
            <v>Dat1291</v>
          </cell>
        </row>
        <row r="2170">
          <cell r="D2170" t="str">
            <v>Dat1292</v>
          </cell>
        </row>
        <row r="2171">
          <cell r="D2171" t="str">
            <v>Dat1293</v>
          </cell>
        </row>
        <row r="2172">
          <cell r="D2172" t="str">
            <v>Dat1294</v>
          </cell>
        </row>
        <row r="2173">
          <cell r="D2173" t="str">
            <v>Dat1295</v>
          </cell>
        </row>
        <row r="2174">
          <cell r="D2174" t="str">
            <v>Dat1296</v>
          </cell>
        </row>
        <row r="2175">
          <cell r="D2175" t="str">
            <v>Dat1297</v>
          </cell>
        </row>
        <row r="2176">
          <cell r="D2176" t="str">
            <v>Dat1298</v>
          </cell>
        </row>
        <row r="2177">
          <cell r="D2177" t="str">
            <v>Dat1299</v>
          </cell>
        </row>
        <row r="2178">
          <cell r="D2178" t="str">
            <v>Dat1300</v>
          </cell>
        </row>
        <row r="2179">
          <cell r="D2179" t="str">
            <v>PHT0013</v>
          </cell>
        </row>
        <row r="2180">
          <cell r="D2180" t="str">
            <v>PHT0014</v>
          </cell>
        </row>
        <row r="2181">
          <cell r="D2181" t="str">
            <v>PX0222</v>
          </cell>
        </row>
        <row r="2182">
          <cell r="D2182" t="str">
            <v>PX0223</v>
          </cell>
        </row>
        <row r="2183">
          <cell r="D2183" t="str">
            <v>PX0224</v>
          </cell>
        </row>
        <row r="2184">
          <cell r="D2184" t="str">
            <v>PX0225</v>
          </cell>
        </row>
        <row r="2185">
          <cell r="D2185" t="str">
            <v>PX0226</v>
          </cell>
        </row>
        <row r="2186">
          <cell r="D2186" t="str">
            <v>PX0227</v>
          </cell>
        </row>
        <row r="2187">
          <cell r="D2187" t="str">
            <v>PX0228</v>
          </cell>
        </row>
        <row r="2188">
          <cell r="D2188" t="str">
            <v>PX0229</v>
          </cell>
        </row>
        <row r="2189">
          <cell r="D2189" t="str">
            <v>PX0230</v>
          </cell>
        </row>
        <row r="2190">
          <cell r="D2190" t="str">
            <v>GPJ0001</v>
          </cell>
        </row>
        <row r="2191">
          <cell r="D2191" t="str">
            <v>Dat1301</v>
          </cell>
        </row>
        <row r="2192">
          <cell r="D2192" t="str">
            <v>NCZ0028</v>
          </cell>
        </row>
        <row r="2193">
          <cell r="D2193" t="str">
            <v>NCZ0029</v>
          </cell>
        </row>
        <row r="2194">
          <cell r="D2194" t="str">
            <v>Dat1302</v>
          </cell>
        </row>
        <row r="2195">
          <cell r="D2195" t="str">
            <v>PHT0015</v>
          </cell>
        </row>
        <row r="2196">
          <cell r="D2196" t="str">
            <v>PXT0037</v>
          </cell>
        </row>
        <row r="2197">
          <cell r="D2197" t="str">
            <v>PX0231</v>
          </cell>
        </row>
        <row r="2198">
          <cell r="D2198" t="str">
            <v>PX0232</v>
          </cell>
        </row>
        <row r="2199">
          <cell r="D2199" t="str">
            <v>PX0233</v>
          </cell>
        </row>
        <row r="2200">
          <cell r="D2200" t="str">
            <v>PX0234</v>
          </cell>
        </row>
        <row r="2201">
          <cell r="D2201" t="str">
            <v>PX0235</v>
          </cell>
        </row>
        <row r="2202">
          <cell r="D2202" t="str">
            <v>PX0236</v>
          </cell>
        </row>
        <row r="2203">
          <cell r="D2203" t="str">
            <v>PX0237</v>
          </cell>
        </row>
        <row r="2204">
          <cell r="D2204" t="str">
            <v>PX0238</v>
          </cell>
        </row>
        <row r="2205">
          <cell r="D2205" t="str">
            <v>PX0239</v>
          </cell>
        </row>
        <row r="2206">
          <cell r="D2206" t="str">
            <v>PX0240</v>
          </cell>
        </row>
        <row r="2207">
          <cell r="D2207" t="str">
            <v>Dat1303</v>
          </cell>
        </row>
        <row r="2208">
          <cell r="D2208" t="str">
            <v>Dat1304</v>
          </cell>
        </row>
        <row r="2209">
          <cell r="D2209" t="str">
            <v>Dat1305</v>
          </cell>
        </row>
        <row r="2210">
          <cell r="D2210" t="str">
            <v>Dat1306</v>
          </cell>
        </row>
        <row r="2211">
          <cell r="D2211" t="str">
            <v>Dat1307</v>
          </cell>
        </row>
        <row r="2212">
          <cell r="D2212" t="str">
            <v>Dat1308</v>
          </cell>
        </row>
        <row r="2213">
          <cell r="D2213" t="str">
            <v>Dat1309</v>
          </cell>
        </row>
        <row r="2214">
          <cell r="D2214" t="str">
            <v>Dat1310</v>
          </cell>
        </row>
        <row r="2215">
          <cell r="D2215" t="str">
            <v>PXT0038</v>
          </cell>
        </row>
        <row r="2216">
          <cell r="D2216" t="str">
            <v>PXT0039</v>
          </cell>
        </row>
        <row r="2217">
          <cell r="D2217" t="str">
            <v>PXT0040</v>
          </cell>
        </row>
        <row r="2218">
          <cell r="D2218" t="str">
            <v>PXT0041</v>
          </cell>
        </row>
        <row r="2219">
          <cell r="D2219" t="str">
            <v>PXT0042</v>
          </cell>
        </row>
        <row r="2220">
          <cell r="D2220" t="str">
            <v>PXT0043</v>
          </cell>
        </row>
        <row r="2221">
          <cell r="D2221" t="str">
            <v>PXT0044</v>
          </cell>
        </row>
        <row r="2222">
          <cell r="D2222" t="str">
            <v>PXT0045</v>
          </cell>
        </row>
        <row r="2223">
          <cell r="D2223" t="str">
            <v>PXT0046</v>
          </cell>
        </row>
        <row r="2224">
          <cell r="D2224" t="str">
            <v>PXT0047</v>
          </cell>
        </row>
        <row r="2225">
          <cell r="D2225" t="str">
            <v>NCZ0030</v>
          </cell>
        </row>
        <row r="2226">
          <cell r="D2226" t="str">
            <v>PXT0048</v>
          </cell>
        </row>
        <row r="2227">
          <cell r="D2227" t="str">
            <v>PXT0049</v>
          </cell>
        </row>
        <row r="2228">
          <cell r="D2228" t="str">
            <v>PXT0050</v>
          </cell>
        </row>
        <row r="2229">
          <cell r="D2229" t="str">
            <v>PX0241</v>
          </cell>
        </row>
        <row r="2230">
          <cell r="D2230" t="str">
            <v>PX0242</v>
          </cell>
        </row>
        <row r="2231">
          <cell r="D2231" t="str">
            <v>PX0243</v>
          </cell>
        </row>
        <row r="2232">
          <cell r="D2232" t="str">
            <v>PX0244</v>
          </cell>
        </row>
        <row r="2233">
          <cell r="D2233" t="str">
            <v>PX0245</v>
          </cell>
        </row>
        <row r="2234">
          <cell r="D2234" t="str">
            <v>GX0001</v>
          </cell>
        </row>
        <row r="2235">
          <cell r="D2235" t="str">
            <v>PX0246</v>
          </cell>
        </row>
        <row r="2236">
          <cell r="D2236" t="str">
            <v>PX0247</v>
          </cell>
        </row>
        <row r="2237">
          <cell r="D2237" t="str">
            <v>PX0248</v>
          </cell>
        </row>
        <row r="2238">
          <cell r="D2238" t="str">
            <v>PX0249</v>
          </cell>
        </row>
        <row r="2239">
          <cell r="D2239" t="str">
            <v>PX0250</v>
          </cell>
        </row>
        <row r="2240">
          <cell r="D2240" t="str">
            <v>PX0251</v>
          </cell>
        </row>
        <row r="2241">
          <cell r="D2241" t="str">
            <v>NCZ0031</v>
          </cell>
        </row>
        <row r="2242">
          <cell r="D2242" t="str">
            <v>NCZ0032</v>
          </cell>
        </row>
        <row r="2243">
          <cell r="D2243" t="str">
            <v>PX0252</v>
          </cell>
        </row>
        <row r="2244">
          <cell r="D2244" t="str">
            <v>PX0253</v>
          </cell>
        </row>
        <row r="2245">
          <cell r="D2245" t="str">
            <v>PX0254</v>
          </cell>
        </row>
        <row r="2246">
          <cell r="D2246" t="str">
            <v>PX0255</v>
          </cell>
        </row>
        <row r="2247">
          <cell r="D2247" t="str">
            <v>PX0256</v>
          </cell>
        </row>
        <row r="2248">
          <cell r="D2248" t="str">
            <v>PX0257</v>
          </cell>
        </row>
        <row r="2249">
          <cell r="D2249" t="str">
            <v>PX0258</v>
          </cell>
        </row>
        <row r="2250">
          <cell r="D2250" t="str">
            <v>PX0259</v>
          </cell>
        </row>
        <row r="2251">
          <cell r="D2251" t="str">
            <v>PX0260</v>
          </cell>
        </row>
        <row r="2252">
          <cell r="D2252" t="str">
            <v>NCZ0033</v>
          </cell>
        </row>
        <row r="2253">
          <cell r="D2253" t="str">
            <v>PX0261</v>
          </cell>
        </row>
        <row r="2254">
          <cell r="D2254" t="str">
            <v>PX0262</v>
          </cell>
        </row>
        <row r="2255">
          <cell r="D2255" t="str">
            <v>PX0263</v>
          </cell>
        </row>
        <row r="2256">
          <cell r="D2256" t="str">
            <v>PX0264</v>
          </cell>
        </row>
        <row r="2257">
          <cell r="D2257" t="str">
            <v>PX0265</v>
          </cell>
        </row>
        <row r="2258">
          <cell r="D2258" t="str">
            <v>PX0266</v>
          </cell>
        </row>
        <row r="2259">
          <cell r="D2259" t="str">
            <v>PX0267</v>
          </cell>
        </row>
        <row r="2260">
          <cell r="D2260" t="str">
            <v>PX0268</v>
          </cell>
        </row>
        <row r="2261">
          <cell r="D2261" t="str">
            <v>PX0269</v>
          </cell>
        </row>
        <row r="2262">
          <cell r="D2262" t="str">
            <v>PX0270</v>
          </cell>
        </row>
        <row r="2263">
          <cell r="D2263" t="str">
            <v>PX0271</v>
          </cell>
        </row>
        <row r="2264">
          <cell r="D2264" t="str">
            <v>PX0272</v>
          </cell>
        </row>
        <row r="2265">
          <cell r="D2265" t="str">
            <v>PX0273</v>
          </cell>
        </row>
        <row r="2266">
          <cell r="D2266" t="str">
            <v>PX0274</v>
          </cell>
        </row>
        <row r="2267">
          <cell r="D2267" t="str">
            <v>PX0275</v>
          </cell>
        </row>
        <row r="2268">
          <cell r="D2268" t="str">
            <v>PX0276</v>
          </cell>
        </row>
        <row r="2269">
          <cell r="D2269" t="str">
            <v>PX0277</v>
          </cell>
        </row>
        <row r="2270">
          <cell r="D2270" t="str">
            <v>PX0278</v>
          </cell>
        </row>
        <row r="2271">
          <cell r="D2271" t="str">
            <v>PX0279</v>
          </cell>
        </row>
        <row r="2272">
          <cell r="D2272" t="str">
            <v>PX0280</v>
          </cell>
        </row>
        <row r="2273">
          <cell r="D2273" t="str">
            <v>PX0281</v>
          </cell>
        </row>
        <row r="2274">
          <cell r="D2274" t="str">
            <v>PX0282</v>
          </cell>
        </row>
        <row r="2275">
          <cell r="D2275" t="str">
            <v>PX0283</v>
          </cell>
        </row>
        <row r="2276">
          <cell r="D2276" t="str">
            <v>PX0284</v>
          </cell>
        </row>
        <row r="2277">
          <cell r="D2277" t="str">
            <v>PX0285</v>
          </cell>
        </row>
        <row r="2278">
          <cell r="D2278" t="str">
            <v>Dat1311</v>
          </cell>
        </row>
        <row r="2279">
          <cell r="D2279" t="str">
            <v>Dat1312</v>
          </cell>
        </row>
        <row r="2280">
          <cell r="D2280" t="str">
            <v>Dat1313</v>
          </cell>
        </row>
        <row r="2281">
          <cell r="D2281" t="str">
            <v>Dat1314</v>
          </cell>
        </row>
        <row r="2282">
          <cell r="D2282" t="str">
            <v>Dat1315</v>
          </cell>
        </row>
        <row r="2283">
          <cell r="D2283" t="str">
            <v>NCZ0034</v>
          </cell>
        </row>
        <row r="2284">
          <cell r="D2284" t="str">
            <v>NCZ0035</v>
          </cell>
        </row>
        <row r="2285">
          <cell r="D2285" t="str">
            <v>NCZ0036</v>
          </cell>
        </row>
        <row r="2286">
          <cell r="D2286" t="str">
            <v>NCZ0037</v>
          </cell>
        </row>
        <row r="2287">
          <cell r="D2287" t="str">
            <v>NCZ0038</v>
          </cell>
        </row>
        <row r="2288">
          <cell r="D2288" t="str">
            <v>GPJ0002</v>
          </cell>
        </row>
        <row r="2289">
          <cell r="D2289" t="str">
            <v>Dat1316</v>
          </cell>
        </row>
        <row r="2290">
          <cell r="D2290" t="str">
            <v>PHT0016</v>
          </cell>
        </row>
        <row r="2291">
          <cell r="D2291" t="str">
            <v>GPJ0003</v>
          </cell>
        </row>
        <row r="2292">
          <cell r="D2292" t="str">
            <v>Dat1317</v>
          </cell>
        </row>
        <row r="2293">
          <cell r="D2293" t="str">
            <v>PX0286</v>
          </cell>
        </row>
        <row r="2294">
          <cell r="D2294" t="str">
            <v>PX0287</v>
          </cell>
        </row>
        <row r="2295">
          <cell r="D2295" t="str">
            <v>PX0288</v>
          </cell>
        </row>
        <row r="2296">
          <cell r="D2296" t="str">
            <v>PX0289</v>
          </cell>
        </row>
        <row r="2297">
          <cell r="D2297" t="str">
            <v>PX0290</v>
          </cell>
        </row>
        <row r="2298">
          <cell r="D2298" t="str">
            <v>PX0291</v>
          </cell>
        </row>
        <row r="2299">
          <cell r="D2299" t="str">
            <v>PX0292</v>
          </cell>
        </row>
        <row r="2300">
          <cell r="D2300" t="str">
            <v>PX0293</v>
          </cell>
        </row>
        <row r="2301">
          <cell r="D2301" t="str">
            <v>PX0294</v>
          </cell>
        </row>
        <row r="2302">
          <cell r="D2302" t="str">
            <v>PX0295</v>
          </cell>
        </row>
        <row r="2303">
          <cell r="D2303" t="str">
            <v>GPJ0004</v>
          </cell>
        </row>
        <row r="2304">
          <cell r="D2304" t="str">
            <v>Dat1318</v>
          </cell>
        </row>
        <row r="2305">
          <cell r="D2305" t="str">
            <v>Dat1319</v>
          </cell>
        </row>
        <row r="2306">
          <cell r="D2306" t="str">
            <v>Dat1320</v>
          </cell>
        </row>
        <row r="2307">
          <cell r="D2307" t="str">
            <v>Dat1321</v>
          </cell>
        </row>
        <row r="2308">
          <cell r="D2308" t="str">
            <v>Dat1322</v>
          </cell>
        </row>
        <row r="2309">
          <cell r="D2309" t="str">
            <v>Dat1323</v>
          </cell>
        </row>
        <row r="2310">
          <cell r="D2310" t="str">
            <v>Dat1324</v>
          </cell>
        </row>
        <row r="2311">
          <cell r="D2311" t="str">
            <v>Dat1325</v>
          </cell>
        </row>
        <row r="2312">
          <cell r="D2312" t="str">
            <v>Dat1326</v>
          </cell>
        </row>
        <row r="2313">
          <cell r="D2313" t="str">
            <v>Dat1327</v>
          </cell>
        </row>
        <row r="2314">
          <cell r="D2314" t="str">
            <v>Dat1328</v>
          </cell>
        </row>
        <row r="2315">
          <cell r="D2315" t="str">
            <v>Dat1329</v>
          </cell>
        </row>
        <row r="2316">
          <cell r="D2316" t="str">
            <v>Dat1330</v>
          </cell>
        </row>
        <row r="2317">
          <cell r="D2317" t="str">
            <v>Dat1331</v>
          </cell>
        </row>
        <row r="2318">
          <cell r="D2318" t="str">
            <v>PHT0017</v>
          </cell>
        </row>
        <row r="2319">
          <cell r="D2319" t="str">
            <v>NCZ0039</v>
          </cell>
        </row>
        <row r="2320">
          <cell r="D2320" t="str">
            <v>NCZ0040</v>
          </cell>
        </row>
        <row r="2321">
          <cell r="D2321" t="str">
            <v>NCZ0041</v>
          </cell>
        </row>
        <row r="2322">
          <cell r="D2322" t="str">
            <v>NCZ0042</v>
          </cell>
        </row>
        <row r="2323">
          <cell r="D2323" t="str">
            <v>NCZ0043</v>
          </cell>
        </row>
        <row r="2324">
          <cell r="D2324" t="str">
            <v>PX0296</v>
          </cell>
        </row>
        <row r="2325">
          <cell r="D2325" t="str">
            <v>PX0297</v>
          </cell>
        </row>
        <row r="2326">
          <cell r="D2326" t="str">
            <v>PX0298</v>
          </cell>
        </row>
        <row r="2327">
          <cell r="D2327" t="str">
            <v>PX0299</v>
          </cell>
        </row>
        <row r="2328">
          <cell r="D2328" t="str">
            <v>PX0300</v>
          </cell>
        </row>
        <row r="2329">
          <cell r="D2329" t="str">
            <v>PX0301</v>
          </cell>
        </row>
        <row r="2330">
          <cell r="D2330" t="str">
            <v>PX0302</v>
          </cell>
        </row>
        <row r="2331">
          <cell r="D2331" t="str">
            <v>PX0303</v>
          </cell>
        </row>
        <row r="2332">
          <cell r="D2332" t="str">
            <v>PX0304</v>
          </cell>
        </row>
        <row r="2333">
          <cell r="D2333" t="str">
            <v>PX0305</v>
          </cell>
        </row>
        <row r="2334">
          <cell r="D2334" t="str">
            <v>GPJ0005</v>
          </cell>
        </row>
        <row r="2335">
          <cell r="D2335" t="str">
            <v>Dat1332</v>
          </cell>
        </row>
        <row r="2336">
          <cell r="D2336" t="str">
            <v>Dat1333</v>
          </cell>
        </row>
        <row r="2337">
          <cell r="D2337" t="str">
            <v>NCZ0044</v>
          </cell>
        </row>
        <row r="2338">
          <cell r="D2338" t="str">
            <v>NCZ0045</v>
          </cell>
        </row>
        <row r="2339">
          <cell r="D2339" t="str">
            <v>Dat1334</v>
          </cell>
        </row>
        <row r="2340">
          <cell r="D2340" t="str">
            <v>Dat1335</v>
          </cell>
        </row>
        <row r="2341">
          <cell r="D2341" t="str">
            <v>Dat1336</v>
          </cell>
        </row>
        <row r="2342">
          <cell r="D2342" t="str">
            <v>Dat1337</v>
          </cell>
        </row>
        <row r="2343">
          <cell r="D2343" t="str">
            <v>Dat1338</v>
          </cell>
        </row>
        <row r="2344">
          <cell r="D2344" t="str">
            <v>Dat1339</v>
          </cell>
        </row>
        <row r="2345">
          <cell r="D2345" t="str">
            <v>NCZ0046</v>
          </cell>
        </row>
        <row r="2346">
          <cell r="D2346" t="str">
            <v>NCZ0047</v>
          </cell>
        </row>
        <row r="2347">
          <cell r="D2347" t="str">
            <v>PX0306</v>
          </cell>
        </row>
        <row r="2348">
          <cell r="D2348" t="str">
            <v>PX0307</v>
          </cell>
        </row>
        <row r="2349">
          <cell r="D2349" t="str">
            <v>PX0308</v>
          </cell>
        </row>
        <row r="2350">
          <cell r="D2350" t="str">
            <v>PX0309</v>
          </cell>
        </row>
        <row r="2351">
          <cell r="D2351" t="str">
            <v>PX0310</v>
          </cell>
        </row>
        <row r="2352">
          <cell r="D2352" t="str">
            <v>PX0311</v>
          </cell>
        </row>
        <row r="2353">
          <cell r="D2353" t="str">
            <v>PX0312</v>
          </cell>
        </row>
        <row r="2354">
          <cell r="D2354" t="str">
            <v>PX0313</v>
          </cell>
        </row>
        <row r="2355">
          <cell r="D2355" t="str">
            <v>PX0314</v>
          </cell>
        </row>
        <row r="2356">
          <cell r="D2356" t="str">
            <v>PX0315</v>
          </cell>
        </row>
        <row r="2357">
          <cell r="D2357" t="str">
            <v>Dat1340</v>
          </cell>
        </row>
        <row r="2358">
          <cell r="D2358" t="str">
            <v>Dat1341</v>
          </cell>
        </row>
        <row r="2359">
          <cell r="D2359" t="str">
            <v>Dat1342</v>
          </cell>
        </row>
        <row r="2360">
          <cell r="D2360" t="str">
            <v>Dat1343</v>
          </cell>
        </row>
        <row r="2361">
          <cell r="D2361" t="str">
            <v>Dat1344</v>
          </cell>
        </row>
        <row r="2362">
          <cell r="D2362" t="str">
            <v>Dat1345</v>
          </cell>
        </row>
        <row r="2363">
          <cell r="D2363" t="str">
            <v>PX0316</v>
          </cell>
        </row>
        <row r="2364">
          <cell r="D2364" t="str">
            <v>NCZ0048</v>
          </cell>
        </row>
        <row r="2365">
          <cell r="D2365" t="str">
            <v>NCZ0049</v>
          </cell>
        </row>
        <row r="2366">
          <cell r="D2366" t="str">
            <v>NCZ0050</v>
          </cell>
        </row>
        <row r="2367">
          <cell r="D2367" t="str">
            <v>NCZ0051</v>
          </cell>
        </row>
        <row r="2368">
          <cell r="D2368" t="str">
            <v>NCZ0052</v>
          </cell>
        </row>
        <row r="2369">
          <cell r="D2369" t="str">
            <v>NCZ0053</v>
          </cell>
        </row>
        <row r="2370">
          <cell r="D2370" t="str">
            <v>NCZ0054</v>
          </cell>
        </row>
        <row r="2371">
          <cell r="D2371" t="str">
            <v>NCZ0055</v>
          </cell>
        </row>
        <row r="2372">
          <cell r="D2372" t="str">
            <v>PX0317</v>
          </cell>
        </row>
        <row r="2373">
          <cell r="D2373" t="str">
            <v>PXM0001</v>
          </cell>
        </row>
        <row r="2374">
          <cell r="D2374" t="str">
            <v>PXM0002</v>
          </cell>
        </row>
        <row r="2375">
          <cell r="D2375" t="str">
            <v>PXM0003</v>
          </cell>
        </row>
        <row r="2376">
          <cell r="D2376" t="str">
            <v>PXM0004</v>
          </cell>
        </row>
        <row r="2377">
          <cell r="D2377" t="str">
            <v>PXM0005</v>
          </cell>
        </row>
        <row r="2378">
          <cell r="D2378" t="str">
            <v>PXM0006</v>
          </cell>
        </row>
        <row r="2379">
          <cell r="D2379" t="str">
            <v>PXM0007</v>
          </cell>
        </row>
        <row r="2380">
          <cell r="D2380" t="str">
            <v>PXM0008</v>
          </cell>
        </row>
        <row r="2381">
          <cell r="D2381" t="str">
            <v>PXM0009</v>
          </cell>
        </row>
        <row r="2382">
          <cell r="D2382" t="str">
            <v>PXM0010</v>
          </cell>
        </row>
        <row r="2383">
          <cell r="D2383" t="str">
            <v>Dat1346</v>
          </cell>
        </row>
        <row r="2384">
          <cell r="D2384" t="str">
            <v>PXM0011</v>
          </cell>
        </row>
        <row r="2385">
          <cell r="D2385" t="str">
            <v>PXM0012</v>
          </cell>
        </row>
        <row r="2386">
          <cell r="D2386" t="str">
            <v>PXM0013</v>
          </cell>
        </row>
        <row r="2387">
          <cell r="D2387" t="str">
            <v>PXM0014</v>
          </cell>
        </row>
        <row r="2388">
          <cell r="D2388" t="str">
            <v>PXM0015</v>
          </cell>
        </row>
        <row r="2389">
          <cell r="D2389" t="str">
            <v>PXM0016</v>
          </cell>
        </row>
        <row r="2390">
          <cell r="D2390" t="str">
            <v>PXM0017</v>
          </cell>
        </row>
        <row r="2391">
          <cell r="D2391" t="str">
            <v>PXM0018</v>
          </cell>
        </row>
        <row r="2392">
          <cell r="D2392" t="str">
            <v>PXM0019</v>
          </cell>
        </row>
        <row r="2393">
          <cell r="D2393" t="str">
            <v>PXM0020</v>
          </cell>
        </row>
        <row r="2394">
          <cell r="D2394" t="str">
            <v>NCZ0056</v>
          </cell>
        </row>
        <row r="2395">
          <cell r="D2395" t="str">
            <v>NCZ0057</v>
          </cell>
        </row>
        <row r="2396">
          <cell r="D2396" t="str">
            <v>NCZ0058</v>
          </cell>
        </row>
        <row r="2397">
          <cell r="D2397" t="str">
            <v>NCZ0059</v>
          </cell>
        </row>
        <row r="2398">
          <cell r="D2398" t="str">
            <v>NCZ0060</v>
          </cell>
        </row>
        <row r="2399">
          <cell r="D2399" t="str">
            <v>GPJ0006</v>
          </cell>
        </row>
        <row r="2400">
          <cell r="D2400" t="str">
            <v>Dat1347</v>
          </cell>
        </row>
        <row r="2401">
          <cell r="D2401" t="str">
            <v>Dat1348</v>
          </cell>
        </row>
        <row r="2402">
          <cell r="D2402" t="str">
            <v>Dat1349</v>
          </cell>
        </row>
        <row r="2403">
          <cell r="D2403" t="str">
            <v>Dat1350</v>
          </cell>
        </row>
        <row r="2404">
          <cell r="D2404" t="str">
            <v>Dat1351</v>
          </cell>
        </row>
        <row r="2405">
          <cell r="D2405" t="str">
            <v>Dat1352</v>
          </cell>
        </row>
        <row r="2406">
          <cell r="D2406" t="str">
            <v>Dat1353</v>
          </cell>
        </row>
        <row r="2407">
          <cell r="D2407" t="str">
            <v>Dat1354</v>
          </cell>
        </row>
        <row r="2408">
          <cell r="D2408" t="str">
            <v>Dat1355</v>
          </cell>
        </row>
        <row r="2409">
          <cell r="D2409" t="str">
            <v>NCZ0061</v>
          </cell>
        </row>
        <row r="2410">
          <cell r="D2410" t="str">
            <v>NCZ0062</v>
          </cell>
        </row>
        <row r="2411">
          <cell r="D2411" t="str">
            <v>NCZ0063</v>
          </cell>
        </row>
        <row r="2412">
          <cell r="D2412" t="str">
            <v>NCZ0064</v>
          </cell>
        </row>
        <row r="2413">
          <cell r="D2413" t="str">
            <v>NCZ0065</v>
          </cell>
        </row>
        <row r="2414">
          <cell r="D2414" t="str">
            <v>PXM0021</v>
          </cell>
        </row>
        <row r="2415">
          <cell r="D2415" t="str">
            <v>PXM0022</v>
          </cell>
        </row>
        <row r="2416">
          <cell r="D2416" t="str">
            <v>PXM0023</v>
          </cell>
        </row>
        <row r="2417">
          <cell r="D2417" t="str">
            <v>PXM0024</v>
          </cell>
        </row>
        <row r="2418">
          <cell r="D2418" t="str">
            <v>PXM0025</v>
          </cell>
        </row>
        <row r="2419">
          <cell r="D2419" t="str">
            <v>PXM0026</v>
          </cell>
        </row>
        <row r="2420">
          <cell r="D2420" t="str">
            <v>PXM0027</v>
          </cell>
        </row>
        <row r="2421">
          <cell r="D2421" t="str">
            <v>PXM0028</v>
          </cell>
        </row>
        <row r="2422">
          <cell r="D2422" t="str">
            <v>PXM0029</v>
          </cell>
        </row>
        <row r="2423">
          <cell r="D2423" t="str">
            <v>PXM0030</v>
          </cell>
        </row>
        <row r="2424">
          <cell r="D2424" t="str">
            <v>PX0318</v>
          </cell>
        </row>
        <row r="2425">
          <cell r="D2425" t="str">
            <v>PX0319</v>
          </cell>
        </row>
        <row r="2426">
          <cell r="D2426" t="str">
            <v>PX0320</v>
          </cell>
        </row>
        <row r="2427">
          <cell r="D2427" t="str">
            <v>Dat1356</v>
          </cell>
        </row>
        <row r="2428">
          <cell r="D2428" t="str">
            <v>NCZ0066</v>
          </cell>
        </row>
        <row r="2429">
          <cell r="D2429" t="str">
            <v>GPJ0007</v>
          </cell>
        </row>
        <row r="2430">
          <cell r="D2430" t="str">
            <v>PHT0018</v>
          </cell>
        </row>
        <row r="2431">
          <cell r="D2431" t="str">
            <v>Dat1357</v>
          </cell>
        </row>
        <row r="2432">
          <cell r="D2432" t="str">
            <v>GPJ0008</v>
          </cell>
        </row>
        <row r="2433">
          <cell r="D2433" t="str">
            <v>Dat1358</v>
          </cell>
        </row>
        <row r="2434">
          <cell r="D2434" t="str">
            <v>PYT0001</v>
          </cell>
        </row>
        <row r="2435">
          <cell r="D2435" t="str">
            <v>Dat1359</v>
          </cell>
        </row>
        <row r="2436">
          <cell r="D2436" t="str">
            <v>GPJ0009</v>
          </cell>
        </row>
        <row r="2437">
          <cell r="D2437" t="str">
            <v>GPJ0010</v>
          </cell>
        </row>
        <row r="2438">
          <cell r="D2438" t="str">
            <v>GPJ0011</v>
          </cell>
        </row>
        <row r="2439">
          <cell r="D2439" t="str">
            <v>GPJ0012</v>
          </cell>
        </row>
        <row r="2440">
          <cell r="D2440" t="str">
            <v>GPJ0013</v>
          </cell>
        </row>
        <row r="2441">
          <cell r="D2441" t="str">
            <v>PXM0031</v>
          </cell>
        </row>
        <row r="2442">
          <cell r="D2442" t="str">
            <v>PXM0032</v>
          </cell>
        </row>
        <row r="2443">
          <cell r="D2443" t="str">
            <v>PXM0033</v>
          </cell>
        </row>
        <row r="2444">
          <cell r="D2444" t="str">
            <v>PXM0034</v>
          </cell>
        </row>
        <row r="2445">
          <cell r="D2445" t="str">
            <v>PXM0035</v>
          </cell>
        </row>
        <row r="2446">
          <cell r="D2446" t="str">
            <v>NCZ0067</v>
          </cell>
        </row>
        <row r="2447">
          <cell r="D2447" t="str">
            <v>NCZ0068</v>
          </cell>
        </row>
        <row r="2448">
          <cell r="D2448" t="str">
            <v>NCZ0069</v>
          </cell>
        </row>
        <row r="2449">
          <cell r="D2449" t="str">
            <v>NCZ0070</v>
          </cell>
        </row>
        <row r="2450">
          <cell r="D2450" t="str">
            <v>NCZ0071</v>
          </cell>
        </row>
        <row r="2451">
          <cell r="D2451" t="str">
            <v>Dat1360</v>
          </cell>
        </row>
        <row r="2452">
          <cell r="D2452" t="str">
            <v>Dat1361</v>
          </cell>
        </row>
        <row r="2453">
          <cell r="D2453" t="str">
            <v>Dat1362</v>
          </cell>
        </row>
        <row r="2454">
          <cell r="D2454" t="str">
            <v>Dat1363</v>
          </cell>
        </row>
        <row r="2455">
          <cell r="D2455" t="str">
            <v>Dat1364</v>
          </cell>
        </row>
        <row r="2456">
          <cell r="D2456" t="str">
            <v>Dat1365</v>
          </cell>
        </row>
        <row r="2457">
          <cell r="D2457" t="str">
            <v>Dat1366</v>
          </cell>
        </row>
        <row r="2458">
          <cell r="D2458" t="str">
            <v>Dat1367</v>
          </cell>
        </row>
        <row r="2459">
          <cell r="D2459" t="str">
            <v>Dat1368</v>
          </cell>
        </row>
        <row r="2460">
          <cell r="D2460" t="str">
            <v>Dat1369</v>
          </cell>
        </row>
        <row r="2461">
          <cell r="D2461" t="str">
            <v>Dat1370</v>
          </cell>
        </row>
        <row r="2462">
          <cell r="D2462" t="str">
            <v>Dat1371</v>
          </cell>
        </row>
        <row r="2463">
          <cell r="D2463" t="str">
            <v>Dat1372</v>
          </cell>
        </row>
        <row r="2464">
          <cell r="D2464" t="str">
            <v>Dat1373</v>
          </cell>
        </row>
        <row r="2465">
          <cell r="D2465" t="str">
            <v>Dat1374</v>
          </cell>
        </row>
        <row r="2466">
          <cell r="D2466" t="str">
            <v>Dat1375</v>
          </cell>
        </row>
        <row r="2467">
          <cell r="D2467" t="str">
            <v>Dat1376</v>
          </cell>
        </row>
        <row r="2468">
          <cell r="D2468" t="str">
            <v>Dat1377</v>
          </cell>
        </row>
        <row r="2469">
          <cell r="D2469" t="str">
            <v>Dat1378</v>
          </cell>
        </row>
        <row r="2470">
          <cell r="D2470" t="str">
            <v>Dat1379</v>
          </cell>
        </row>
        <row r="2471">
          <cell r="D2471" t="str">
            <v>PYT0002</v>
          </cell>
        </row>
        <row r="2472">
          <cell r="D2472" t="str">
            <v>PYT0003</v>
          </cell>
        </row>
        <row r="2473">
          <cell r="D2473" t="str">
            <v>NCZ0072</v>
          </cell>
        </row>
        <row r="2474">
          <cell r="D2474" t="str">
            <v>PXM0036</v>
          </cell>
        </row>
        <row r="2475">
          <cell r="D2475" t="str">
            <v>PXM0037</v>
          </cell>
        </row>
        <row r="2476">
          <cell r="D2476" t="str">
            <v>PXM0038</v>
          </cell>
        </row>
        <row r="2477">
          <cell r="D2477" t="str">
            <v>PXM0039</v>
          </cell>
        </row>
        <row r="2478">
          <cell r="D2478" t="str">
            <v>PXM0040</v>
          </cell>
        </row>
        <row r="2479">
          <cell r="D2479" t="str">
            <v>PXM0041</v>
          </cell>
        </row>
        <row r="2480">
          <cell r="D2480" t="str">
            <v>PXM0042</v>
          </cell>
        </row>
        <row r="2481">
          <cell r="D2481" t="str">
            <v>PXM0043</v>
          </cell>
        </row>
        <row r="2482">
          <cell r="D2482" t="str">
            <v>PXM0044</v>
          </cell>
        </row>
        <row r="2483">
          <cell r="D2483" t="str">
            <v>PXM0045</v>
          </cell>
        </row>
        <row r="2484">
          <cell r="D2484" t="str">
            <v>PYT0004</v>
          </cell>
        </row>
        <row r="2485">
          <cell r="D2485" t="str">
            <v>NCZ0073</v>
          </cell>
        </row>
        <row r="2486">
          <cell r="D2486" t="str">
            <v>Dat1380</v>
          </cell>
        </row>
        <row r="2487">
          <cell r="D2487" t="str">
            <v>PXM0046</v>
          </cell>
        </row>
        <row r="2488">
          <cell r="D2488" t="str">
            <v>PXM0047</v>
          </cell>
        </row>
        <row r="2489">
          <cell r="D2489" t="str">
            <v>PXM0048</v>
          </cell>
        </row>
        <row r="2490">
          <cell r="D2490" t="str">
            <v>PXM0049</v>
          </cell>
        </row>
        <row r="2491">
          <cell r="D2491" t="str">
            <v>PXM0050</v>
          </cell>
        </row>
        <row r="2492">
          <cell r="D2492" t="str">
            <v>PXM0051</v>
          </cell>
        </row>
        <row r="2493">
          <cell r="D2493" t="str">
            <v>PXM0052</v>
          </cell>
        </row>
        <row r="2494">
          <cell r="D2494" t="str">
            <v>PXM0053</v>
          </cell>
        </row>
        <row r="2495">
          <cell r="D2495" t="str">
            <v>PXM0054</v>
          </cell>
        </row>
        <row r="2496">
          <cell r="D2496" t="str">
            <v>PXM0055</v>
          </cell>
        </row>
        <row r="2497">
          <cell r="D2497" t="str">
            <v>PHT0019</v>
          </cell>
        </row>
        <row r="2498">
          <cell r="D2498" t="str">
            <v>NCZ0074</v>
          </cell>
        </row>
        <row r="2499">
          <cell r="D2499" t="str">
            <v>NCZ0075</v>
          </cell>
        </row>
        <row r="2500">
          <cell r="D2500" t="str">
            <v>NCZ0076</v>
          </cell>
        </row>
        <row r="2501">
          <cell r="D2501" t="str">
            <v>NCZ0077</v>
          </cell>
        </row>
        <row r="2502">
          <cell r="D2502" t="str">
            <v>NCZ0078</v>
          </cell>
        </row>
        <row r="2503">
          <cell r="D2503" t="str">
            <v>NCZ0079</v>
          </cell>
        </row>
        <row r="2504">
          <cell r="D2504" t="str">
            <v>NCZ0080</v>
          </cell>
        </row>
        <row r="2505">
          <cell r="D2505" t="str">
            <v>PXM0056</v>
          </cell>
        </row>
        <row r="2506">
          <cell r="D2506" t="str">
            <v>PXM0057</v>
          </cell>
        </row>
        <row r="2507">
          <cell r="D2507" t="str">
            <v>PXM0058</v>
          </cell>
        </row>
        <row r="2508">
          <cell r="D2508" t="str">
            <v>PXM0059</v>
          </cell>
        </row>
        <row r="2509">
          <cell r="D2509" t="str">
            <v>PXM0060</v>
          </cell>
        </row>
        <row r="2510">
          <cell r="D2510" t="str">
            <v>PXM0061</v>
          </cell>
        </row>
        <row r="2511">
          <cell r="D2511" t="str">
            <v>PXM0062</v>
          </cell>
        </row>
        <row r="2512">
          <cell r="D2512" t="str">
            <v>PXM0063</v>
          </cell>
        </row>
        <row r="2513">
          <cell r="D2513" t="str">
            <v>PXM0064</v>
          </cell>
        </row>
        <row r="2514">
          <cell r="D2514" t="str">
            <v>PXM0065</v>
          </cell>
        </row>
        <row r="2515">
          <cell r="D2515" t="str">
            <v>GPJ0014</v>
          </cell>
        </row>
        <row r="2516">
          <cell r="D2516" t="str">
            <v>GPJ0015</v>
          </cell>
        </row>
        <row r="2517">
          <cell r="D2517" t="str">
            <v>GPJ0016</v>
          </cell>
        </row>
        <row r="2518">
          <cell r="D2518" t="str">
            <v>GIE0001</v>
          </cell>
        </row>
        <row r="2519">
          <cell r="D2519" t="str">
            <v>Dat1381</v>
          </cell>
        </row>
        <row r="2520">
          <cell r="D2520" t="str">
            <v>Dat1382</v>
          </cell>
        </row>
        <row r="2521">
          <cell r="D2521" t="str">
            <v>Dat1383</v>
          </cell>
        </row>
        <row r="2522">
          <cell r="D2522" t="str">
            <v>Dat1384</v>
          </cell>
        </row>
        <row r="2523">
          <cell r="D2523" t="str">
            <v>Dat1385</v>
          </cell>
        </row>
        <row r="2524">
          <cell r="D2524" t="str">
            <v>NCZ0081</v>
          </cell>
        </row>
        <row r="2525">
          <cell r="D2525" t="str">
            <v>NCZ0082</v>
          </cell>
        </row>
        <row r="2526">
          <cell r="D2526" t="str">
            <v>NCZ0083</v>
          </cell>
        </row>
        <row r="2527">
          <cell r="D2527" t="str">
            <v>NCZ0084</v>
          </cell>
        </row>
        <row r="2528">
          <cell r="D2528" t="str">
            <v>NCZ0085</v>
          </cell>
        </row>
        <row r="2529">
          <cell r="D2529" t="str">
            <v>NCZ0086</v>
          </cell>
        </row>
        <row r="2530">
          <cell r="D2530" t="str">
            <v>NCZ0087</v>
          </cell>
        </row>
        <row r="2531">
          <cell r="D2531" t="str">
            <v>NCZ0088</v>
          </cell>
        </row>
        <row r="2532">
          <cell r="D2532" t="str">
            <v>NCZ0089</v>
          </cell>
        </row>
        <row r="2533">
          <cell r="D2533" t="str">
            <v>NCZ0090</v>
          </cell>
        </row>
        <row r="2534">
          <cell r="D2534" t="str">
            <v>NCZ0091</v>
          </cell>
        </row>
        <row r="2535">
          <cell r="D2535" t="str">
            <v>NCZ0092</v>
          </cell>
        </row>
        <row r="2536">
          <cell r="D2536" t="str">
            <v>NCZ0093</v>
          </cell>
        </row>
        <row r="2537">
          <cell r="D2537" t="str">
            <v>NCZ0094</v>
          </cell>
        </row>
        <row r="2538">
          <cell r="D2538" t="str">
            <v>NCZ0095</v>
          </cell>
        </row>
        <row r="2539">
          <cell r="D2539" t="str">
            <v>NCZ0096</v>
          </cell>
        </row>
        <row r="2540">
          <cell r="D2540" t="str">
            <v>NCZ0097</v>
          </cell>
        </row>
        <row r="2541">
          <cell r="D2541" t="str">
            <v>NCZ0098</v>
          </cell>
        </row>
        <row r="2542">
          <cell r="D2542" t="str">
            <v>NCZ0099</v>
          </cell>
        </row>
        <row r="2543">
          <cell r="D2543" t="str">
            <v>NCZ0100</v>
          </cell>
        </row>
        <row r="2544">
          <cell r="D2544" t="str">
            <v>NCZ0101</v>
          </cell>
        </row>
        <row r="2545">
          <cell r="D2545" t="str">
            <v>NCZ0102</v>
          </cell>
        </row>
        <row r="2546">
          <cell r="D2546" t="str">
            <v>NCZ0103</v>
          </cell>
        </row>
        <row r="2547">
          <cell r="D2547" t="str">
            <v>NCZ0104</v>
          </cell>
        </row>
        <row r="2548">
          <cell r="D2548" t="str">
            <v>NCZ0105</v>
          </cell>
        </row>
        <row r="2549">
          <cell r="D2549" t="str">
            <v>NCZ0106</v>
          </cell>
        </row>
        <row r="2550">
          <cell r="D2550" t="str">
            <v>NCZ0107</v>
          </cell>
        </row>
        <row r="2551">
          <cell r="D2551" t="str">
            <v>NCZ0108</v>
          </cell>
        </row>
        <row r="2552">
          <cell r="D2552" t="str">
            <v>NCZ0109</v>
          </cell>
        </row>
        <row r="2553">
          <cell r="D2553" t="str">
            <v>NCZ0110</v>
          </cell>
        </row>
        <row r="2554">
          <cell r="D2554" t="str">
            <v>PXM0066</v>
          </cell>
        </row>
        <row r="2555">
          <cell r="D2555" t="str">
            <v>PXM0067</v>
          </cell>
        </row>
        <row r="2556">
          <cell r="D2556" t="str">
            <v>PXM0068</v>
          </cell>
        </row>
        <row r="2557">
          <cell r="D2557" t="str">
            <v>PXM0069</v>
          </cell>
        </row>
        <row r="2558">
          <cell r="D2558" t="str">
            <v>PXM0070</v>
          </cell>
        </row>
        <row r="2559">
          <cell r="D2559" t="str">
            <v>PXM0071</v>
          </cell>
        </row>
        <row r="2560">
          <cell r="D2560" t="str">
            <v>PXM0072</v>
          </cell>
        </row>
        <row r="2561">
          <cell r="D2561" t="str">
            <v>PXM0073</v>
          </cell>
        </row>
        <row r="2562">
          <cell r="D2562" t="str">
            <v>PXM0074</v>
          </cell>
        </row>
        <row r="2563">
          <cell r="D2563" t="str">
            <v>PXM0075</v>
          </cell>
        </row>
        <row r="2564">
          <cell r="D2564" t="str">
            <v>PXM0076</v>
          </cell>
        </row>
        <row r="2565">
          <cell r="D2565" t="str">
            <v>PXM0077</v>
          </cell>
        </row>
        <row r="2566">
          <cell r="D2566" t="str">
            <v>PXM0078</v>
          </cell>
        </row>
        <row r="2567">
          <cell r="D2567" t="str">
            <v>PXM0079</v>
          </cell>
        </row>
        <row r="2568">
          <cell r="D2568" t="str">
            <v>PXM0080</v>
          </cell>
        </row>
        <row r="2569">
          <cell r="D2569" t="str">
            <v>PXM0081</v>
          </cell>
        </row>
        <row r="2570">
          <cell r="D2570" t="str">
            <v>PXM0082</v>
          </cell>
        </row>
        <row r="2571">
          <cell r="D2571" t="str">
            <v>PXM0083</v>
          </cell>
        </row>
        <row r="2572">
          <cell r="D2572" t="str">
            <v>PXM0084</v>
          </cell>
        </row>
        <row r="2573">
          <cell r="D2573" t="str">
            <v>PXM0085</v>
          </cell>
        </row>
        <row r="2574">
          <cell r="D2574" t="str">
            <v>GPJ0017</v>
          </cell>
        </row>
        <row r="2575">
          <cell r="D2575" t="str">
            <v>GPJ0018</v>
          </cell>
        </row>
        <row r="2576">
          <cell r="D2576" t="str">
            <v>GPJ0019</v>
          </cell>
        </row>
        <row r="2577">
          <cell r="D2577" t="str">
            <v>GPJ0020</v>
          </cell>
        </row>
        <row r="2578">
          <cell r="D2578" t="str">
            <v>GPJ0021</v>
          </cell>
        </row>
        <row r="2579">
          <cell r="D2579" t="str">
            <v>GPJ0022</v>
          </cell>
        </row>
        <row r="2580">
          <cell r="D2580" t="str">
            <v>GPJ0023</v>
          </cell>
        </row>
        <row r="2581">
          <cell r="D2581" t="str">
            <v>GPJ0024</v>
          </cell>
        </row>
        <row r="2582">
          <cell r="D2582" t="str">
            <v>GPJ0025</v>
          </cell>
        </row>
        <row r="2583">
          <cell r="D2583" t="str">
            <v>PHT0020</v>
          </cell>
        </row>
        <row r="2584">
          <cell r="D2584" t="str">
            <v>PHT0021</v>
          </cell>
        </row>
        <row r="2585">
          <cell r="D2585" t="str">
            <v>PHT0022</v>
          </cell>
        </row>
        <row r="2586">
          <cell r="D2586" t="str">
            <v>PHT0023</v>
          </cell>
        </row>
        <row r="2587">
          <cell r="D2587" t="str">
            <v>Dat1386</v>
          </cell>
        </row>
        <row r="2588">
          <cell r="D2588" t="str">
            <v>Dat1387</v>
          </cell>
        </row>
        <row r="2589">
          <cell r="D2589" t="str">
            <v>Dat1388</v>
          </cell>
        </row>
        <row r="2590">
          <cell r="D2590" t="str">
            <v>Dat1389</v>
          </cell>
        </row>
        <row r="2591">
          <cell r="D2591" t="str">
            <v>Dat1390</v>
          </cell>
        </row>
        <row r="2592">
          <cell r="D2592" t="str">
            <v>Dat1391</v>
          </cell>
        </row>
        <row r="2593">
          <cell r="D2593" t="str">
            <v>Dat1392</v>
          </cell>
        </row>
        <row r="2594">
          <cell r="D2594" t="str">
            <v>Dat1393</v>
          </cell>
        </row>
        <row r="2595">
          <cell r="D2595" t="str">
            <v>Dat1394</v>
          </cell>
        </row>
        <row r="2596">
          <cell r="D2596" t="str">
            <v>Dat1395</v>
          </cell>
        </row>
        <row r="2597">
          <cell r="D2597" t="str">
            <v>Dat1396</v>
          </cell>
        </row>
        <row r="2598">
          <cell r="D2598" t="str">
            <v>Dat1397</v>
          </cell>
        </row>
        <row r="2599">
          <cell r="D2599" t="str">
            <v>Dat1398</v>
          </cell>
        </row>
        <row r="2600">
          <cell r="D2600" t="str">
            <v>Dat1399</v>
          </cell>
        </row>
        <row r="2601">
          <cell r="D2601" t="str">
            <v>Dat1400</v>
          </cell>
        </row>
        <row r="2602">
          <cell r="D2602" t="str">
            <v>Dat1401</v>
          </cell>
        </row>
        <row r="2603">
          <cell r="D2603" t="str">
            <v>Dat1402</v>
          </cell>
        </row>
        <row r="2604">
          <cell r="D2604" t="str">
            <v>Dat1403</v>
          </cell>
        </row>
        <row r="2605">
          <cell r="D2605" t="str">
            <v>Dat1404</v>
          </cell>
        </row>
        <row r="2606">
          <cell r="D2606" t="str">
            <v>Dat1405</v>
          </cell>
        </row>
        <row r="2607">
          <cell r="D2607" t="str">
            <v>Dat1406</v>
          </cell>
        </row>
        <row r="2608">
          <cell r="D2608" t="str">
            <v>Dat1407</v>
          </cell>
        </row>
        <row r="2609">
          <cell r="D2609" t="str">
            <v>GIE0002</v>
          </cell>
        </row>
        <row r="2610">
          <cell r="D2610" t="str">
            <v>PXT0051</v>
          </cell>
        </row>
        <row r="2611">
          <cell r="D2611" t="str">
            <v>PXT0052</v>
          </cell>
        </row>
        <row r="2612">
          <cell r="D2612" t="str">
            <v>Dat1408</v>
          </cell>
        </row>
        <row r="2613">
          <cell r="D2613" t="str">
            <v>NCZ0111</v>
          </cell>
        </row>
        <row r="2614">
          <cell r="D2614" t="str">
            <v>GPJ0026</v>
          </cell>
        </row>
        <row r="2615">
          <cell r="D2615" t="str">
            <v>GPJ0027</v>
          </cell>
        </row>
        <row r="2616">
          <cell r="D2616" t="str">
            <v>GPJ0028</v>
          </cell>
        </row>
        <row r="2617">
          <cell r="D2617" t="str">
            <v>GPJ0029</v>
          </cell>
        </row>
        <row r="2618">
          <cell r="D2618" t="str">
            <v>GPJ0030</v>
          </cell>
        </row>
        <row r="2619">
          <cell r="D2619" t="str">
            <v>Dat1409</v>
          </cell>
        </row>
        <row r="2620">
          <cell r="D2620" t="str">
            <v>Dat1410</v>
          </cell>
        </row>
        <row r="2621">
          <cell r="D2621" t="str">
            <v>Dat1411</v>
          </cell>
        </row>
        <row r="2622">
          <cell r="D2622" t="str">
            <v>Dat1412</v>
          </cell>
        </row>
        <row r="2623">
          <cell r="D2623" t="str">
            <v>Dat1413</v>
          </cell>
        </row>
        <row r="2624">
          <cell r="D2624" t="str">
            <v>Dat1414</v>
          </cell>
        </row>
        <row r="2625">
          <cell r="D2625" t="str">
            <v>Dat1415</v>
          </cell>
        </row>
        <row r="2626">
          <cell r="D2626" t="str">
            <v>NCZ0112</v>
          </cell>
        </row>
        <row r="2627">
          <cell r="D2627" t="str">
            <v>NCZ0113</v>
          </cell>
        </row>
        <row r="2628">
          <cell r="D2628" t="str">
            <v>NCZ0114</v>
          </cell>
        </row>
        <row r="2629">
          <cell r="D2629" t="str">
            <v>NCZ0115</v>
          </cell>
        </row>
        <row r="2630">
          <cell r="D2630" t="str">
            <v>Dat1416</v>
          </cell>
        </row>
        <row r="2631">
          <cell r="D2631" t="str">
            <v>Dat1417</v>
          </cell>
        </row>
        <row r="2632">
          <cell r="D2632" t="str">
            <v>Dat1418</v>
          </cell>
        </row>
        <row r="2633">
          <cell r="D2633" t="str">
            <v>PXM0086</v>
          </cell>
        </row>
        <row r="2634">
          <cell r="D2634" t="str">
            <v>PXM0087</v>
          </cell>
        </row>
        <row r="2635">
          <cell r="D2635" t="str">
            <v>PXM0088</v>
          </cell>
        </row>
        <row r="2636">
          <cell r="D2636" t="str">
            <v>PXM0089</v>
          </cell>
        </row>
        <row r="2637">
          <cell r="D2637" t="str">
            <v>PXM0090</v>
          </cell>
        </row>
        <row r="2638">
          <cell r="D2638" t="str">
            <v>PXM0091</v>
          </cell>
        </row>
        <row r="2639">
          <cell r="D2639" t="str">
            <v>PXM0092</v>
          </cell>
        </row>
        <row r="2640">
          <cell r="D2640" t="str">
            <v>PXM0093</v>
          </cell>
        </row>
        <row r="2641">
          <cell r="D2641" t="str">
            <v>PXM0094</v>
          </cell>
        </row>
        <row r="2642">
          <cell r="D2642" t="str">
            <v>PXM0095</v>
          </cell>
        </row>
        <row r="2643">
          <cell r="D2643" t="str">
            <v>PXM0096</v>
          </cell>
        </row>
        <row r="2644">
          <cell r="D2644" t="str">
            <v>PXM0097</v>
          </cell>
        </row>
        <row r="2645">
          <cell r="D2645" t="str">
            <v>PXM0098</v>
          </cell>
        </row>
        <row r="2646">
          <cell r="D2646" t="str">
            <v>PXM0099</v>
          </cell>
        </row>
        <row r="2647">
          <cell r="D2647" t="str">
            <v>PXM0100</v>
          </cell>
        </row>
        <row r="2648">
          <cell r="D2648" t="str">
            <v>PXM0101</v>
          </cell>
        </row>
        <row r="2649">
          <cell r="D2649" t="str">
            <v>PXM0102</v>
          </cell>
        </row>
        <row r="2650">
          <cell r="D2650" t="str">
            <v>PXM0103</v>
          </cell>
        </row>
        <row r="2651">
          <cell r="D2651" t="str">
            <v>PXM0104</v>
          </cell>
        </row>
        <row r="2652">
          <cell r="D2652" t="str">
            <v>PXM0105</v>
          </cell>
        </row>
        <row r="2653">
          <cell r="D2653" t="str">
            <v>GPJ0031</v>
          </cell>
        </row>
        <row r="2654">
          <cell r="D2654" t="str">
            <v>GPJ0032</v>
          </cell>
        </row>
        <row r="2655">
          <cell r="D2655" t="str">
            <v>GPJ0033</v>
          </cell>
        </row>
        <row r="2656">
          <cell r="D2656" t="str">
            <v>GPJ0034</v>
          </cell>
        </row>
        <row r="2657">
          <cell r="D2657" t="str">
            <v>GPJ0035</v>
          </cell>
        </row>
        <row r="2658">
          <cell r="D2658" t="str">
            <v>Dat1419</v>
          </cell>
        </row>
        <row r="2659">
          <cell r="D2659" t="str">
            <v>Dat1420</v>
          </cell>
        </row>
        <row r="2660">
          <cell r="D2660" t="str">
            <v>Dat1421</v>
          </cell>
        </row>
        <row r="2661">
          <cell r="D2661" t="str">
            <v>Dat1422</v>
          </cell>
        </row>
        <row r="2662">
          <cell r="D2662" t="str">
            <v>Dat1423</v>
          </cell>
        </row>
        <row r="2663">
          <cell r="D2663" t="str">
            <v>Dat1424</v>
          </cell>
        </row>
        <row r="2664">
          <cell r="D2664" t="str">
            <v>Dat1425</v>
          </cell>
        </row>
        <row r="2665">
          <cell r="D2665" t="str">
            <v>Dat1426</v>
          </cell>
        </row>
        <row r="2666">
          <cell r="D2666" t="str">
            <v>Dat1427</v>
          </cell>
        </row>
        <row r="2667">
          <cell r="D2667" t="str">
            <v>Dat1428</v>
          </cell>
        </row>
        <row r="2668">
          <cell r="D2668" t="str">
            <v>Dat1429</v>
          </cell>
        </row>
        <row r="2669">
          <cell r="D2669" t="str">
            <v>Dat1430</v>
          </cell>
        </row>
        <row r="2670">
          <cell r="D2670" t="str">
            <v>Dat1431</v>
          </cell>
        </row>
        <row r="2671">
          <cell r="D2671" t="str">
            <v>Dat1432</v>
          </cell>
        </row>
        <row r="2672">
          <cell r="D2672" t="str">
            <v>Dat1433</v>
          </cell>
        </row>
        <row r="2673">
          <cell r="D2673" t="str">
            <v>Dat1434</v>
          </cell>
        </row>
        <row r="2674">
          <cell r="D2674" t="str">
            <v>Dat1435</v>
          </cell>
        </row>
        <row r="2675">
          <cell r="D2675" t="str">
            <v>Dat1436</v>
          </cell>
        </row>
        <row r="2676">
          <cell r="D2676" t="str">
            <v>Dat1437</v>
          </cell>
        </row>
        <row r="2677">
          <cell r="D2677" t="str">
            <v>Dat1438</v>
          </cell>
        </row>
        <row r="2678">
          <cell r="D2678" t="str">
            <v>Dat1439</v>
          </cell>
        </row>
        <row r="2679">
          <cell r="D2679" t="str">
            <v>Dat1440</v>
          </cell>
        </row>
        <row r="2680">
          <cell r="D2680" t="str">
            <v>NCZ0116</v>
          </cell>
        </row>
        <row r="2681">
          <cell r="D2681" t="str">
            <v>PX0321</v>
          </cell>
        </row>
        <row r="2682">
          <cell r="D2682" t="str">
            <v>PX0322</v>
          </cell>
        </row>
        <row r="2683">
          <cell r="D2683" t="str">
            <v>PX0323</v>
          </cell>
        </row>
        <row r="2684">
          <cell r="D2684" t="str">
            <v>PX0324</v>
          </cell>
        </row>
        <row r="2685">
          <cell r="D2685" t="str">
            <v>PX0325</v>
          </cell>
        </row>
        <row r="2686">
          <cell r="D2686" t="str">
            <v>PX0326</v>
          </cell>
        </row>
        <row r="2687">
          <cell r="D2687" t="str">
            <v>PX0327</v>
          </cell>
        </row>
        <row r="2688">
          <cell r="D2688" t="str">
            <v>PX0328</v>
          </cell>
        </row>
        <row r="2689">
          <cell r="D2689" t="str">
            <v>PX0329</v>
          </cell>
        </row>
        <row r="2690">
          <cell r="D2690" t="str">
            <v>PX0330</v>
          </cell>
        </row>
        <row r="2691">
          <cell r="D2691" t="str">
            <v>Dat1441</v>
          </cell>
        </row>
        <row r="2692">
          <cell r="D2692" t="str">
            <v>Dat1442</v>
          </cell>
        </row>
        <row r="2693">
          <cell r="D2693" t="str">
            <v>Dat1443</v>
          </cell>
        </row>
        <row r="2694">
          <cell r="D2694" t="str">
            <v>Dat1444</v>
          </cell>
        </row>
        <row r="2695">
          <cell r="D2695" t="str">
            <v>Dat1445</v>
          </cell>
        </row>
        <row r="2696">
          <cell r="D2696" t="str">
            <v>Dat1446</v>
          </cell>
        </row>
        <row r="2697">
          <cell r="D2697" t="str">
            <v>Dat1447</v>
          </cell>
        </row>
        <row r="2698">
          <cell r="D2698" t="str">
            <v>HOP0001</v>
          </cell>
        </row>
        <row r="2699">
          <cell r="D2699" t="str">
            <v>HOP0002</v>
          </cell>
        </row>
        <row r="2700">
          <cell r="D2700" t="str">
            <v>HOP0003</v>
          </cell>
        </row>
        <row r="2701">
          <cell r="D2701" t="str">
            <v>HOP0004</v>
          </cell>
        </row>
        <row r="2702">
          <cell r="D2702" t="str">
            <v>HOP0005</v>
          </cell>
        </row>
        <row r="2703">
          <cell r="D2703" t="str">
            <v>HOP0006</v>
          </cell>
        </row>
        <row r="2704">
          <cell r="D2704" t="str">
            <v>Dat1448</v>
          </cell>
        </row>
        <row r="2705">
          <cell r="D2705" t="str">
            <v>Dat1449</v>
          </cell>
        </row>
        <row r="2706">
          <cell r="D2706" t="str">
            <v>Dat1450</v>
          </cell>
        </row>
        <row r="2707">
          <cell r="D2707" t="str">
            <v>Dat1451</v>
          </cell>
        </row>
        <row r="2708">
          <cell r="D2708" t="str">
            <v>Dat1452</v>
          </cell>
        </row>
        <row r="2709">
          <cell r="D2709" t="str">
            <v>Dat1453</v>
          </cell>
        </row>
        <row r="2710">
          <cell r="D2710" t="str">
            <v>Dat1454</v>
          </cell>
        </row>
        <row r="2711">
          <cell r="D2711" t="str">
            <v>Dat1455</v>
          </cell>
        </row>
        <row r="2712">
          <cell r="D2712" t="str">
            <v>Dat1456</v>
          </cell>
        </row>
        <row r="2713">
          <cell r="D2713" t="str">
            <v>Dat1457</v>
          </cell>
        </row>
        <row r="2714">
          <cell r="D2714" t="str">
            <v>Dat1458</v>
          </cell>
        </row>
        <row r="2715">
          <cell r="D2715" t="str">
            <v>Dat1459</v>
          </cell>
        </row>
        <row r="2716">
          <cell r="D2716" t="str">
            <v>Dat1460</v>
          </cell>
        </row>
        <row r="2717">
          <cell r="D2717" t="str">
            <v>Dat1461</v>
          </cell>
        </row>
        <row r="2718">
          <cell r="D2718" t="str">
            <v>Dat1462</v>
          </cell>
        </row>
        <row r="2719">
          <cell r="D2719" t="str">
            <v>Dat1463</v>
          </cell>
        </row>
        <row r="2720">
          <cell r="D2720" t="str">
            <v>Dat1464</v>
          </cell>
        </row>
        <row r="2721">
          <cell r="D2721" t="str">
            <v>Dat1465</v>
          </cell>
        </row>
        <row r="2722">
          <cell r="D2722" t="str">
            <v>PX0331</v>
          </cell>
        </row>
        <row r="2723">
          <cell r="D2723" t="str">
            <v>PX0332</v>
          </cell>
        </row>
        <row r="2724">
          <cell r="D2724" t="str">
            <v>PX0333</v>
          </cell>
        </row>
        <row r="2725">
          <cell r="D2725" t="str">
            <v>PX0334</v>
          </cell>
        </row>
        <row r="2726">
          <cell r="D2726" t="str">
            <v>PX0335</v>
          </cell>
        </row>
        <row r="2727">
          <cell r="D2727" t="str">
            <v>PX0336</v>
          </cell>
        </row>
        <row r="2728">
          <cell r="D2728" t="str">
            <v>PX0337</v>
          </cell>
        </row>
        <row r="2729">
          <cell r="D2729" t="str">
            <v>PX0338</v>
          </cell>
        </row>
        <row r="2730">
          <cell r="D2730" t="str">
            <v>PX0339</v>
          </cell>
        </row>
        <row r="2731">
          <cell r="D2731" t="str">
            <v>PX0340</v>
          </cell>
        </row>
        <row r="2732">
          <cell r="D2732" t="str">
            <v>NCZ0117</v>
          </cell>
        </row>
        <row r="2733">
          <cell r="D2733" t="str">
            <v>NCZ0118</v>
          </cell>
        </row>
        <row r="2734">
          <cell r="D2734" t="str">
            <v>NCZ0119</v>
          </cell>
        </row>
        <row r="2735">
          <cell r="D2735" t="str">
            <v>NCZ0120</v>
          </cell>
        </row>
        <row r="2736">
          <cell r="D2736" t="str">
            <v>GPJ0036</v>
          </cell>
        </row>
        <row r="2737">
          <cell r="D2737" t="str">
            <v>GPJ0037</v>
          </cell>
        </row>
        <row r="2738">
          <cell r="D2738" t="str">
            <v>GPJ0038</v>
          </cell>
        </row>
        <row r="2739">
          <cell r="D2739" t="str">
            <v>GPJ0039</v>
          </cell>
        </row>
        <row r="2740">
          <cell r="D2740" t="str">
            <v>GPJ0040</v>
          </cell>
        </row>
        <row r="2741">
          <cell r="D2741" t="str">
            <v>Dat1466</v>
          </cell>
        </row>
        <row r="2742">
          <cell r="D2742" t="str">
            <v>Dat1467</v>
          </cell>
        </row>
        <row r="2743">
          <cell r="D2743" t="str">
            <v>Dat1468</v>
          </cell>
        </row>
        <row r="2744">
          <cell r="D2744" t="str">
            <v>Dat1469</v>
          </cell>
        </row>
        <row r="2745">
          <cell r="D2745" t="str">
            <v>Dat1470</v>
          </cell>
        </row>
        <row r="2746">
          <cell r="D2746" t="str">
            <v>Dat1471</v>
          </cell>
        </row>
        <row r="2747">
          <cell r="D2747" t="str">
            <v>Dat1472</v>
          </cell>
        </row>
        <row r="2748">
          <cell r="D2748" t="str">
            <v>Dat1473</v>
          </cell>
        </row>
        <row r="2749">
          <cell r="D2749" t="str">
            <v>Dat1474</v>
          </cell>
        </row>
        <row r="2750">
          <cell r="D2750" t="str">
            <v>Dat1475</v>
          </cell>
        </row>
        <row r="2751">
          <cell r="D2751" t="str">
            <v>Dat1476</v>
          </cell>
        </row>
        <row r="2752">
          <cell r="D2752" t="str">
            <v>Dat1477</v>
          </cell>
        </row>
        <row r="2753">
          <cell r="D2753" t="str">
            <v>Dat1478</v>
          </cell>
        </row>
        <row r="2754">
          <cell r="D2754" t="str">
            <v>Dat1479</v>
          </cell>
        </row>
        <row r="2755">
          <cell r="D2755" t="str">
            <v>Dat1480</v>
          </cell>
        </row>
        <row r="2756">
          <cell r="D2756" t="str">
            <v>Dat1481</v>
          </cell>
        </row>
        <row r="2757">
          <cell r="D2757" t="str">
            <v>Dat1482</v>
          </cell>
        </row>
        <row r="2758">
          <cell r="D2758" t="str">
            <v>Dat1483</v>
          </cell>
        </row>
        <row r="2759">
          <cell r="D2759" t="str">
            <v>Dat1484</v>
          </cell>
        </row>
        <row r="2760">
          <cell r="D2760" t="str">
            <v>Dat1485</v>
          </cell>
        </row>
        <row r="2761">
          <cell r="D2761" t="str">
            <v>Dat1486</v>
          </cell>
        </row>
        <row r="2762">
          <cell r="D2762" t="str">
            <v>Dat1487</v>
          </cell>
        </row>
        <row r="2763">
          <cell r="D2763" t="str">
            <v>Dat1488</v>
          </cell>
        </row>
        <row r="2764">
          <cell r="D2764" t="str">
            <v>Dat1489</v>
          </cell>
        </row>
        <row r="2765">
          <cell r="D2765" t="str">
            <v>Dat1490</v>
          </cell>
        </row>
        <row r="2766">
          <cell r="D2766" t="str">
            <v>Dat1491</v>
          </cell>
        </row>
        <row r="2767">
          <cell r="D2767" t="str">
            <v>Dat1492</v>
          </cell>
        </row>
        <row r="2768">
          <cell r="D2768" t="str">
            <v>Dat1493</v>
          </cell>
        </row>
        <row r="2769">
          <cell r="D2769" t="str">
            <v>Dat1494</v>
          </cell>
        </row>
        <row r="2770">
          <cell r="D2770" t="str">
            <v>Dat1495</v>
          </cell>
        </row>
        <row r="2771">
          <cell r="D2771" t="str">
            <v>Dat1496</v>
          </cell>
        </row>
        <row r="2772">
          <cell r="D2772" t="str">
            <v>Dat1497</v>
          </cell>
        </row>
        <row r="2773">
          <cell r="D2773" t="str">
            <v>Dat1498</v>
          </cell>
        </row>
        <row r="2774">
          <cell r="D2774" t="str">
            <v>Dat1499</v>
          </cell>
        </row>
        <row r="2775">
          <cell r="D2775" t="str">
            <v>Dat1500</v>
          </cell>
        </row>
        <row r="2776">
          <cell r="D2776" t="str">
            <v>PSL0001</v>
          </cell>
        </row>
        <row r="2777">
          <cell r="D2777" t="str">
            <v>PYT0005</v>
          </cell>
        </row>
        <row r="2778">
          <cell r="D2778" t="str">
            <v>PYT0006</v>
          </cell>
        </row>
        <row r="2779">
          <cell r="D2779" t="str">
            <v>PYT0007</v>
          </cell>
        </row>
        <row r="2780">
          <cell r="D2780" t="str">
            <v>NCZ0121</v>
          </cell>
        </row>
        <row r="2781">
          <cell r="D2781" t="str">
            <v>NCZ0122</v>
          </cell>
        </row>
        <row r="2782">
          <cell r="D2782" t="str">
            <v>NCZ0123</v>
          </cell>
        </row>
        <row r="2783">
          <cell r="D2783" t="str">
            <v>PSL0002</v>
          </cell>
        </row>
        <row r="2784">
          <cell r="D2784" t="str">
            <v>PSL0003</v>
          </cell>
        </row>
        <row r="2785">
          <cell r="D2785" t="str">
            <v>PSL0004</v>
          </cell>
        </row>
        <row r="2786">
          <cell r="D2786" t="str">
            <v>PSL0005</v>
          </cell>
        </row>
        <row r="2787">
          <cell r="D2787" t="str">
            <v>HOP0007</v>
          </cell>
        </row>
        <row r="2788">
          <cell r="D2788" t="str">
            <v>HOP0008</v>
          </cell>
        </row>
        <row r="2789">
          <cell r="D2789" t="str">
            <v>HOP0009</v>
          </cell>
        </row>
        <row r="2790">
          <cell r="D2790" t="str">
            <v>HOP0010</v>
          </cell>
        </row>
        <row r="2791">
          <cell r="D2791" t="str">
            <v>HOP0011</v>
          </cell>
        </row>
        <row r="2792">
          <cell r="D2792" t="str">
            <v>HOP0012</v>
          </cell>
        </row>
        <row r="2793">
          <cell r="D2793" t="str">
            <v>PX0341</v>
          </cell>
        </row>
        <row r="2794">
          <cell r="D2794" t="str">
            <v>PX0342</v>
          </cell>
        </row>
        <row r="2795">
          <cell r="D2795" t="str">
            <v>PX0343</v>
          </cell>
        </row>
        <row r="2796">
          <cell r="D2796" t="str">
            <v>PX0344</v>
          </cell>
        </row>
        <row r="2797">
          <cell r="D2797" t="str">
            <v>PX0345</v>
          </cell>
        </row>
        <row r="2798">
          <cell r="D2798" t="str">
            <v>PX0346</v>
          </cell>
        </row>
        <row r="2799">
          <cell r="D2799" t="str">
            <v>PX0347</v>
          </cell>
        </row>
        <row r="2800">
          <cell r="D2800" t="str">
            <v>PX0348</v>
          </cell>
        </row>
        <row r="2801">
          <cell r="D2801" t="str">
            <v>PX0349</v>
          </cell>
        </row>
        <row r="2802">
          <cell r="D2802" t="str">
            <v>PX0350</v>
          </cell>
        </row>
        <row r="2803">
          <cell r="D2803" t="str">
            <v>Dat1501</v>
          </cell>
        </row>
        <row r="2804">
          <cell r="D2804" t="str">
            <v>Dat1502</v>
          </cell>
        </row>
        <row r="2805">
          <cell r="D2805" t="str">
            <v>Dat1503</v>
          </cell>
        </row>
        <row r="2806">
          <cell r="D2806" t="str">
            <v>Dat1504</v>
          </cell>
        </row>
        <row r="2807">
          <cell r="D2807" t="str">
            <v>Dat1505</v>
          </cell>
        </row>
        <row r="2808">
          <cell r="D2808" t="str">
            <v>Dat1506</v>
          </cell>
        </row>
        <row r="2809">
          <cell r="D2809" t="str">
            <v>Dat1507</v>
          </cell>
        </row>
        <row r="2810">
          <cell r="D2810" t="str">
            <v>Dat1508</v>
          </cell>
        </row>
        <row r="2811">
          <cell r="D2811" t="str">
            <v>Dat1509</v>
          </cell>
        </row>
        <row r="2812">
          <cell r="D2812" t="str">
            <v>Dat1510</v>
          </cell>
        </row>
        <row r="2813">
          <cell r="D2813" t="str">
            <v>GPJ0041</v>
          </cell>
        </row>
        <row r="2814">
          <cell r="D2814" t="str">
            <v>GPJ0042</v>
          </cell>
        </row>
        <row r="2815">
          <cell r="D2815" t="str">
            <v>GPJ0043</v>
          </cell>
        </row>
        <row r="2816">
          <cell r="D2816" t="str">
            <v>GPJ0044</v>
          </cell>
        </row>
        <row r="2817">
          <cell r="D2817" t="str">
            <v>GPJ0045</v>
          </cell>
        </row>
        <row r="2818">
          <cell r="D2818" t="str">
            <v>PSL0006</v>
          </cell>
        </row>
        <row r="2819">
          <cell r="D2819" t="str">
            <v>PSL0007</v>
          </cell>
        </row>
        <row r="2820">
          <cell r="D2820" t="str">
            <v>PSL0008</v>
          </cell>
        </row>
        <row r="2821">
          <cell r="D2821" t="str">
            <v>Dat1511</v>
          </cell>
        </row>
        <row r="2822">
          <cell r="D2822" t="str">
            <v>PSL0009</v>
          </cell>
        </row>
        <row r="2823">
          <cell r="D2823" t="str">
            <v>PSL0010</v>
          </cell>
        </row>
        <row r="2824">
          <cell r="D2824" t="str">
            <v>PSL0011</v>
          </cell>
        </row>
        <row r="2825">
          <cell r="D2825" t="str">
            <v>NCZ0124</v>
          </cell>
        </row>
        <row r="2826">
          <cell r="D2826" t="str">
            <v>NCZ0125</v>
          </cell>
        </row>
        <row r="2827">
          <cell r="D2827" t="str">
            <v>NCZ0126</v>
          </cell>
        </row>
        <row r="2828">
          <cell r="D2828" t="str">
            <v>NCZ0127</v>
          </cell>
        </row>
        <row r="2829">
          <cell r="D2829" t="str">
            <v>NCZ0128</v>
          </cell>
        </row>
        <row r="2830">
          <cell r="D2830" t="str">
            <v>Dat1512</v>
          </cell>
        </row>
        <row r="2831">
          <cell r="D2831" t="str">
            <v>PSL0012</v>
          </cell>
        </row>
        <row r="2832">
          <cell r="D2832" t="str">
            <v>PSL0013</v>
          </cell>
        </row>
        <row r="2833">
          <cell r="D2833" t="str">
            <v>PSL0014</v>
          </cell>
        </row>
        <row r="2834">
          <cell r="D2834" t="str">
            <v>NCZ0129</v>
          </cell>
        </row>
        <row r="2835">
          <cell r="D2835" t="str">
            <v>NCZ0130</v>
          </cell>
        </row>
        <row r="2836">
          <cell r="D2836" t="str">
            <v>Dat1513</v>
          </cell>
        </row>
        <row r="2837">
          <cell r="D2837" t="str">
            <v>Dat1514</v>
          </cell>
        </row>
        <row r="2838">
          <cell r="D2838" t="str">
            <v>Dat1515</v>
          </cell>
        </row>
        <row r="2839">
          <cell r="D2839" t="str">
            <v>Dat1516</v>
          </cell>
        </row>
        <row r="2840">
          <cell r="D2840" t="str">
            <v>Dat1517</v>
          </cell>
        </row>
        <row r="2841">
          <cell r="D2841" t="str">
            <v>Dat1518</v>
          </cell>
        </row>
        <row r="2842">
          <cell r="D2842" t="str">
            <v>Dat1519</v>
          </cell>
        </row>
        <row r="2843">
          <cell r="D2843" t="str">
            <v>Dat1520</v>
          </cell>
        </row>
        <row r="2844">
          <cell r="D2844" t="str">
            <v>Dat1521</v>
          </cell>
        </row>
        <row r="2845">
          <cell r="D2845" t="str">
            <v>Dat1522</v>
          </cell>
        </row>
        <row r="2846">
          <cell r="D2846" t="str">
            <v>Dat1523</v>
          </cell>
        </row>
        <row r="2847">
          <cell r="D2847" t="str">
            <v>Dat1524</v>
          </cell>
        </row>
        <row r="2848">
          <cell r="D2848" t="str">
            <v>Dat1525</v>
          </cell>
        </row>
        <row r="2849">
          <cell r="D2849" t="str">
            <v>Dat1526</v>
          </cell>
        </row>
        <row r="2850">
          <cell r="D2850" t="str">
            <v>Dat1527</v>
          </cell>
        </row>
        <row r="2851">
          <cell r="D2851" t="str">
            <v>Dat1528</v>
          </cell>
        </row>
        <row r="2852">
          <cell r="D2852" t="str">
            <v>Dat1529</v>
          </cell>
        </row>
        <row r="2853">
          <cell r="D2853" t="str">
            <v>Dat1530</v>
          </cell>
        </row>
        <row r="2854">
          <cell r="D2854" t="str">
            <v>Dat1531</v>
          </cell>
        </row>
        <row r="2855">
          <cell r="D2855" t="str">
            <v>Dat1532</v>
          </cell>
        </row>
        <row r="2856">
          <cell r="D2856" t="str">
            <v>Dat1533</v>
          </cell>
        </row>
        <row r="2857">
          <cell r="D2857" t="str">
            <v>Dat1534</v>
          </cell>
        </row>
        <row r="2858">
          <cell r="D2858" t="str">
            <v>Dat1535</v>
          </cell>
        </row>
        <row r="2859">
          <cell r="D2859" t="str">
            <v>GPJ0046</v>
          </cell>
        </row>
        <row r="2860">
          <cell r="D2860" t="str">
            <v>GPJ0047</v>
          </cell>
        </row>
        <row r="2861">
          <cell r="D2861" t="str">
            <v>GPJ0048</v>
          </cell>
        </row>
        <row r="2862">
          <cell r="D2862" t="str">
            <v>GPJ0049</v>
          </cell>
        </row>
        <row r="2863">
          <cell r="D2863" t="str">
            <v>PSL0015</v>
          </cell>
        </row>
        <row r="2864">
          <cell r="D2864" t="str">
            <v>HOP0013</v>
          </cell>
        </row>
        <row r="2865">
          <cell r="D2865" t="str">
            <v>NCZ0131</v>
          </cell>
        </row>
        <row r="2866">
          <cell r="D2866" t="str">
            <v>NCZ0132</v>
          </cell>
        </row>
        <row r="2867">
          <cell r="D2867" t="str">
            <v>NCZ0133</v>
          </cell>
        </row>
        <row r="2868">
          <cell r="D2868" t="str">
            <v>PX0351</v>
          </cell>
        </row>
        <row r="2869">
          <cell r="D2869" t="str">
            <v>PX0352</v>
          </cell>
        </row>
        <row r="2870">
          <cell r="D2870" t="str">
            <v>PX0353</v>
          </cell>
        </row>
        <row r="2871">
          <cell r="D2871" t="str">
            <v>PX0354</v>
          </cell>
        </row>
        <row r="2872">
          <cell r="D2872" t="str">
            <v>PX0355</v>
          </cell>
        </row>
        <row r="2873">
          <cell r="D2873" t="str">
            <v>PX0356</v>
          </cell>
        </row>
        <row r="2874">
          <cell r="D2874" t="str">
            <v>PX0357</v>
          </cell>
        </row>
        <row r="2875">
          <cell r="D2875" t="str">
            <v>PX0358</v>
          </cell>
        </row>
        <row r="2876">
          <cell r="D2876" t="str">
            <v>PX0359</v>
          </cell>
        </row>
        <row r="2877">
          <cell r="D2877" t="str">
            <v>PX0360</v>
          </cell>
        </row>
        <row r="2878">
          <cell r="D2878" t="str">
            <v>Dat1536</v>
          </cell>
        </row>
        <row r="2879">
          <cell r="D2879" t="str">
            <v>Dat1537</v>
          </cell>
        </row>
        <row r="2880">
          <cell r="D2880" t="str">
            <v>Dat1538</v>
          </cell>
        </row>
        <row r="2881">
          <cell r="D2881" t="str">
            <v>PSL0016</v>
          </cell>
        </row>
        <row r="2882">
          <cell r="D2882" t="str">
            <v>PSL0017</v>
          </cell>
        </row>
        <row r="2883">
          <cell r="D2883" t="str">
            <v>PSL0018</v>
          </cell>
        </row>
        <row r="2884">
          <cell r="D2884" t="str">
            <v>HOP0014</v>
          </cell>
        </row>
        <row r="2885">
          <cell r="D2885" t="str">
            <v>HOP0015</v>
          </cell>
        </row>
        <row r="2886">
          <cell r="D2886" t="str">
            <v>HOP0016</v>
          </cell>
        </row>
        <row r="2887">
          <cell r="D2887" t="str">
            <v>Dat1539</v>
          </cell>
        </row>
        <row r="2888">
          <cell r="D2888" t="str">
            <v>Dat1540</v>
          </cell>
        </row>
        <row r="2889">
          <cell r="D2889" t="str">
            <v>Dat1541</v>
          </cell>
        </row>
        <row r="2890">
          <cell r="D2890" t="str">
            <v>Dat1542</v>
          </cell>
        </row>
        <row r="2891">
          <cell r="D2891" t="str">
            <v>Dat1543</v>
          </cell>
        </row>
        <row r="2892">
          <cell r="D2892" t="str">
            <v>Dat1544</v>
          </cell>
        </row>
        <row r="2893">
          <cell r="D2893" t="str">
            <v>Dat1545</v>
          </cell>
        </row>
        <row r="2894">
          <cell r="D2894" t="str">
            <v>Dat1546</v>
          </cell>
        </row>
        <row r="2895">
          <cell r="D2895" t="str">
            <v>Dat1547</v>
          </cell>
        </row>
        <row r="2896">
          <cell r="D2896" t="str">
            <v>Dat1548</v>
          </cell>
        </row>
        <row r="2897">
          <cell r="D2897" t="str">
            <v>Dat1549</v>
          </cell>
        </row>
        <row r="2898">
          <cell r="D2898" t="str">
            <v>Dat1550</v>
          </cell>
        </row>
        <row r="2899">
          <cell r="D2899" t="str">
            <v>PSL0019</v>
          </cell>
        </row>
        <row r="2900">
          <cell r="D2900" t="str">
            <v>PSL0020</v>
          </cell>
        </row>
        <row r="2901">
          <cell r="D2901" t="str">
            <v>Dat1551</v>
          </cell>
        </row>
        <row r="2902">
          <cell r="D2902" t="str">
            <v>PX0361</v>
          </cell>
        </row>
        <row r="2903">
          <cell r="D2903" t="str">
            <v>PX0362</v>
          </cell>
        </row>
        <row r="2904">
          <cell r="D2904" t="str">
            <v>PX0363</v>
          </cell>
        </row>
        <row r="2905">
          <cell r="D2905" t="str">
            <v>PX0364</v>
          </cell>
        </row>
        <row r="2906">
          <cell r="D2906" t="str">
            <v>PX0365</v>
          </cell>
        </row>
        <row r="2907">
          <cell r="D2907" t="str">
            <v>GPJ0050</v>
          </cell>
        </row>
        <row r="2908">
          <cell r="D2908" t="str">
            <v>GPJ0051</v>
          </cell>
        </row>
        <row r="2909">
          <cell r="D2909" t="str">
            <v>GPJ0052</v>
          </cell>
        </row>
        <row r="2910">
          <cell r="D2910" t="str">
            <v>GPJ0053</v>
          </cell>
        </row>
        <row r="2911">
          <cell r="D2911" t="str">
            <v>GPJ0054</v>
          </cell>
        </row>
        <row r="2912">
          <cell r="D2912" t="str">
            <v>PSL0021</v>
          </cell>
        </row>
        <row r="2913">
          <cell r="D2913" t="str">
            <v>HOP0017</v>
          </cell>
        </row>
        <row r="2914">
          <cell r="D2914" t="str">
            <v>Dat1552</v>
          </cell>
        </row>
        <row r="2915">
          <cell r="D2915" t="str">
            <v>Dat1553</v>
          </cell>
        </row>
        <row r="2916">
          <cell r="D2916" t="str">
            <v>Dat1554</v>
          </cell>
        </row>
        <row r="2917">
          <cell r="D2917" t="str">
            <v>Dat1555</v>
          </cell>
        </row>
        <row r="2918">
          <cell r="D2918" t="str">
            <v>Dat1556</v>
          </cell>
        </row>
        <row r="2919">
          <cell r="D2919" t="str">
            <v>NCZ0134</v>
          </cell>
        </row>
        <row r="2920">
          <cell r="D2920" t="str">
            <v>NCZ0135</v>
          </cell>
        </row>
        <row r="2921">
          <cell r="D2921" t="str">
            <v>Dat1557</v>
          </cell>
        </row>
        <row r="2922">
          <cell r="D2922" t="str">
            <v>Dat1558</v>
          </cell>
        </row>
        <row r="2923">
          <cell r="D2923" t="str">
            <v>Dat1559</v>
          </cell>
        </row>
        <row r="2924">
          <cell r="D2924" t="str">
            <v>Dat1560</v>
          </cell>
        </row>
        <row r="2925">
          <cell r="D2925" t="str">
            <v>Dat1561</v>
          </cell>
        </row>
        <row r="2926">
          <cell r="D2926" t="str">
            <v>Dat1562</v>
          </cell>
        </row>
        <row r="2927">
          <cell r="D2927" t="str">
            <v>Dat1563</v>
          </cell>
        </row>
        <row r="2928">
          <cell r="D2928" t="str">
            <v>Dat1564</v>
          </cell>
        </row>
        <row r="2929">
          <cell r="D2929" t="str">
            <v>Dat1565</v>
          </cell>
        </row>
        <row r="2930">
          <cell r="D2930" t="str">
            <v>Dat1566</v>
          </cell>
        </row>
        <row r="2931">
          <cell r="D2931" t="str">
            <v>Dat1567</v>
          </cell>
        </row>
        <row r="2932">
          <cell r="D2932" t="str">
            <v>Dat1568</v>
          </cell>
        </row>
        <row r="2933">
          <cell r="D2933" t="str">
            <v>Dat1569</v>
          </cell>
        </row>
        <row r="2934">
          <cell r="D2934" t="str">
            <v>Dat1570</v>
          </cell>
        </row>
        <row r="2935">
          <cell r="D2935" t="str">
            <v>Dat1571</v>
          </cell>
        </row>
        <row r="2936">
          <cell r="D2936" t="str">
            <v>Dat1572</v>
          </cell>
        </row>
        <row r="2937">
          <cell r="D2937" t="str">
            <v>Dat1573</v>
          </cell>
        </row>
        <row r="2938">
          <cell r="D2938" t="str">
            <v>Dat1574</v>
          </cell>
        </row>
        <row r="2939">
          <cell r="D2939" t="str">
            <v>Dat1575</v>
          </cell>
        </row>
        <row r="2940">
          <cell r="D2940" t="str">
            <v>PSL0022</v>
          </cell>
        </row>
        <row r="2941">
          <cell r="D2941" t="str">
            <v>Dat1576</v>
          </cell>
        </row>
        <row r="2942">
          <cell r="D2942" t="str">
            <v>Dat1577</v>
          </cell>
        </row>
        <row r="2943">
          <cell r="D2943" t="str">
            <v>Dat1578</v>
          </cell>
        </row>
        <row r="2944">
          <cell r="D2944" t="str">
            <v>Dat1579</v>
          </cell>
        </row>
        <row r="2945">
          <cell r="D2945" t="str">
            <v>Dat1580</v>
          </cell>
        </row>
        <row r="2946">
          <cell r="D2946" t="str">
            <v>PX0366</v>
          </cell>
        </row>
        <row r="2947">
          <cell r="D2947" t="str">
            <v>PX0367</v>
          </cell>
        </row>
        <row r="2948">
          <cell r="D2948" t="str">
            <v>PX0368</v>
          </cell>
        </row>
        <row r="2949">
          <cell r="D2949" t="str">
            <v>PX0369</v>
          </cell>
        </row>
        <row r="2950">
          <cell r="D2950" t="str">
            <v>PX0370</v>
          </cell>
        </row>
        <row r="2951">
          <cell r="D2951" t="str">
            <v>PSL0023</v>
          </cell>
        </row>
        <row r="2952">
          <cell r="D2952" t="str">
            <v>PSL0024</v>
          </cell>
        </row>
        <row r="2953">
          <cell r="D2953" t="str">
            <v>PSL0025</v>
          </cell>
        </row>
        <row r="2954">
          <cell r="D2954" t="str">
            <v>Dat1581</v>
          </cell>
        </row>
        <row r="2955">
          <cell r="D2955" t="str">
            <v/>
          </cell>
        </row>
        <row r="2956">
          <cell r="D2956" t="str">
            <v/>
          </cell>
        </row>
        <row r="2957">
          <cell r="D2957" t="str">
            <v/>
          </cell>
        </row>
        <row r="2958">
          <cell r="D2958" t="str">
            <v/>
          </cell>
        </row>
        <row r="2959">
          <cell r="D2959" t="str">
            <v/>
          </cell>
        </row>
        <row r="2960">
          <cell r="D2960" t="str">
            <v/>
          </cell>
        </row>
        <row r="2961">
          <cell r="D2961" t="str">
            <v/>
          </cell>
        </row>
        <row r="2962">
          <cell r="D2962" t="str">
            <v/>
          </cell>
        </row>
        <row r="2963">
          <cell r="D2963" t="str">
            <v/>
          </cell>
        </row>
        <row r="2964">
          <cell r="D2964" t="str">
            <v/>
          </cell>
        </row>
        <row r="2965">
          <cell r="D2965" t="str">
            <v/>
          </cell>
        </row>
        <row r="2966">
          <cell r="D2966" t="str">
            <v/>
          </cell>
        </row>
        <row r="2967">
          <cell r="D2967" t="str">
            <v/>
          </cell>
        </row>
        <row r="2968">
          <cell r="D2968" t="str">
            <v/>
          </cell>
        </row>
        <row r="2969">
          <cell r="D2969" t="str">
            <v/>
          </cell>
        </row>
        <row r="2970">
          <cell r="D2970" t="str">
            <v/>
          </cell>
        </row>
        <row r="2971">
          <cell r="D2971" t="str">
            <v/>
          </cell>
        </row>
        <row r="2972">
          <cell r="D2972" t="str">
            <v/>
          </cell>
        </row>
        <row r="2973">
          <cell r="D2973" t="str">
            <v/>
          </cell>
        </row>
        <row r="2974">
          <cell r="D2974" t="str">
            <v/>
          </cell>
        </row>
        <row r="2975">
          <cell r="D2975" t="str">
            <v/>
          </cell>
        </row>
        <row r="2976">
          <cell r="D2976" t="str">
            <v/>
          </cell>
        </row>
        <row r="2977">
          <cell r="D2977" t="str">
            <v/>
          </cell>
        </row>
        <row r="2978">
          <cell r="D2978" t="str">
            <v/>
          </cell>
        </row>
        <row r="2979">
          <cell r="D2979" t="str">
            <v/>
          </cell>
        </row>
        <row r="2980">
          <cell r="D2980" t="str">
            <v/>
          </cell>
        </row>
        <row r="2981">
          <cell r="D2981" t="str">
            <v/>
          </cell>
        </row>
        <row r="2982">
          <cell r="D2982" t="str">
            <v/>
          </cell>
        </row>
        <row r="2983">
          <cell r="D2983" t="str">
            <v/>
          </cell>
        </row>
        <row r="2984">
          <cell r="D2984" t="str">
            <v/>
          </cell>
        </row>
        <row r="2985">
          <cell r="D2985" t="str">
            <v/>
          </cell>
        </row>
        <row r="2986">
          <cell r="D2986" t="str">
            <v/>
          </cell>
        </row>
        <row r="2987">
          <cell r="D2987" t="str">
            <v/>
          </cell>
        </row>
        <row r="2988">
          <cell r="D2988" t="str">
            <v/>
          </cell>
        </row>
        <row r="2989">
          <cell r="D2989" t="str">
            <v/>
          </cell>
        </row>
        <row r="2990">
          <cell r="D2990" t="str">
            <v/>
          </cell>
        </row>
        <row r="2991">
          <cell r="D2991" t="str">
            <v/>
          </cell>
        </row>
        <row r="2992">
          <cell r="D2992" t="str">
            <v/>
          </cell>
        </row>
        <row r="2993">
          <cell r="D2993" t="str">
            <v/>
          </cell>
        </row>
        <row r="2994">
          <cell r="D2994" t="str">
            <v/>
          </cell>
        </row>
        <row r="2995">
          <cell r="D2995" t="str">
            <v/>
          </cell>
        </row>
        <row r="2996">
          <cell r="D2996" t="str">
            <v/>
          </cell>
        </row>
        <row r="2997">
          <cell r="D2997" t="str">
            <v/>
          </cell>
        </row>
        <row r="2998">
          <cell r="D2998" t="str">
            <v/>
          </cell>
        </row>
        <row r="2999">
          <cell r="D2999" t="str">
            <v/>
          </cell>
        </row>
        <row r="3000">
          <cell r="D3000" t="str">
            <v/>
          </cell>
        </row>
      </sheetData>
      <sheetData sheetId="6"/>
      <sheetData sheetId="7"/>
      <sheetData sheetId="8"/>
      <sheetData sheetId="9"/>
      <sheetData sheetId="10"/>
      <sheetData sheetId="11">
        <row r="7">
          <cell r="I7" t="str">
            <v>ncz0061</v>
          </cell>
        </row>
        <row r="8">
          <cell r="I8" t="str">
            <v>pxm0027</v>
          </cell>
        </row>
        <row r="9">
          <cell r="I9" t="str">
            <v>gpj0009</v>
          </cell>
        </row>
        <row r="10">
          <cell r="I10" t="str">
            <v>pxm0028</v>
          </cell>
        </row>
        <row r="11">
          <cell r="I11" t="str">
            <v>dat1361</v>
          </cell>
        </row>
        <row r="12">
          <cell r="I12" t="str">
            <v>dat1362</v>
          </cell>
        </row>
        <row r="13">
          <cell r="I13" t="str">
            <v>dat1363</v>
          </cell>
        </row>
        <row r="14">
          <cell r="I14" t="str">
            <v>ncz0062</v>
          </cell>
        </row>
        <row r="15">
          <cell r="I15" t="str">
            <v>pxm0029</v>
          </cell>
        </row>
        <row r="16">
          <cell r="I16" t="str">
            <v>ncz0071</v>
          </cell>
        </row>
        <row r="17">
          <cell r="I17" t="str">
            <v>pxm0030</v>
          </cell>
        </row>
        <row r="18">
          <cell r="I18" t="str">
            <v>ncz0063</v>
          </cell>
        </row>
        <row r="19">
          <cell r="I19" t="str">
            <v>dat1377</v>
          </cell>
        </row>
        <row r="20">
          <cell r="I20" t="str">
            <v>gpj0010</v>
          </cell>
        </row>
        <row r="21">
          <cell r="I21" t="str">
            <v>pxm0032</v>
          </cell>
        </row>
        <row r="22">
          <cell r="I22" t="str">
            <v>pht0018</v>
          </cell>
        </row>
        <row r="24">
          <cell r="I24" t="str">
            <v>dat1364</v>
          </cell>
        </row>
        <row r="25">
          <cell r="I25" t="str">
            <v>pxm0031</v>
          </cell>
        </row>
        <row r="26">
          <cell r="I26" t="str">
            <v>ncz0065</v>
          </cell>
        </row>
        <row r="27">
          <cell r="I27" t="str">
            <v>pxm0033</v>
          </cell>
        </row>
        <row r="28">
          <cell r="I28" t="str">
            <v>dat1365</v>
          </cell>
        </row>
        <row r="29">
          <cell r="I29" t="str">
            <v>pxm0034</v>
          </cell>
        </row>
        <row r="30">
          <cell r="I30" t="str">
            <v>ncz0064</v>
          </cell>
        </row>
        <row r="31">
          <cell r="I31" t="str">
            <v>pxm0035</v>
          </cell>
        </row>
        <row r="32">
          <cell r="I32" t="str">
            <v>ncz0072</v>
          </cell>
        </row>
        <row r="33">
          <cell r="I33" t="str">
            <v>ncz0068</v>
          </cell>
        </row>
        <row r="34">
          <cell r="I34" t="str">
            <v>pxm0038</v>
          </cell>
        </row>
        <row r="35">
          <cell r="I35" t="str">
            <v>pxm0037</v>
          </cell>
        </row>
        <row r="36">
          <cell r="I36" t="str">
            <v>pxm0036</v>
          </cell>
        </row>
        <row r="37">
          <cell r="I37" t="str">
            <v>dat1366</v>
          </cell>
        </row>
        <row r="38">
          <cell r="I38" t="str">
            <v>ncz0067</v>
          </cell>
        </row>
        <row r="40">
          <cell r="I40" t="str">
            <v>ncz0069</v>
          </cell>
        </row>
        <row r="41">
          <cell r="I41" t="str">
            <v>pxm0039</v>
          </cell>
        </row>
        <row r="42">
          <cell r="I42" t="str">
            <v>pxm0040</v>
          </cell>
        </row>
        <row r="43">
          <cell r="I43" t="str">
            <v>gpj0011</v>
          </cell>
        </row>
        <row r="44">
          <cell r="I44" t="str">
            <v>pxm0041</v>
          </cell>
        </row>
        <row r="45">
          <cell r="I45" t="str">
            <v>pxm0043</v>
          </cell>
        </row>
        <row r="46">
          <cell r="I46" t="str">
            <v>dat1367</v>
          </cell>
        </row>
        <row r="47">
          <cell r="I47" t="str">
            <v>ncz0073</v>
          </cell>
        </row>
        <row r="48">
          <cell r="I48" t="str">
            <v>dat1378</v>
          </cell>
        </row>
        <row r="49">
          <cell r="I49" t="str">
            <v>pxm0042</v>
          </cell>
        </row>
        <row r="50">
          <cell r="I50" t="str">
            <v>ncz0070</v>
          </cell>
        </row>
        <row r="51">
          <cell r="I51" t="str">
            <v>pxm0046</v>
          </cell>
        </row>
        <row r="52">
          <cell r="I52" t="str">
            <v>pxm0044</v>
          </cell>
        </row>
        <row r="53">
          <cell r="I53" t="str">
            <v>pxm0045</v>
          </cell>
        </row>
        <row r="54">
          <cell r="I54" t="str">
            <v>pxm0047</v>
          </cell>
        </row>
        <row r="55">
          <cell r="I55" t="str">
            <v>pyt0002</v>
          </cell>
        </row>
        <row r="56">
          <cell r="I56" t="str">
            <v>pyt0004</v>
          </cell>
        </row>
        <row r="57">
          <cell r="I57" t="str">
            <v>pxm0051</v>
          </cell>
        </row>
        <row r="59">
          <cell r="I59" t="str">
            <v>ncz0074</v>
          </cell>
        </row>
        <row r="60">
          <cell r="I60" t="str">
            <v>pxm0048</v>
          </cell>
        </row>
        <row r="62">
          <cell r="I62" t="str">
            <v>pxm0049</v>
          </cell>
        </row>
        <row r="63">
          <cell r="I63" t="str">
            <v>gpj0012</v>
          </cell>
        </row>
        <row r="64">
          <cell r="I64" t="str">
            <v>dat1368</v>
          </cell>
        </row>
        <row r="65">
          <cell r="I65" t="str">
            <v>pxm0052</v>
          </cell>
        </row>
        <row r="66">
          <cell r="I66" t="str">
            <v>ncz0075</v>
          </cell>
        </row>
        <row r="67">
          <cell r="I67" t="str">
            <v>ncz0076</v>
          </cell>
        </row>
        <row r="68">
          <cell r="I68" t="str">
            <v>pxm0050</v>
          </cell>
        </row>
        <row r="69">
          <cell r="I69" t="str">
            <v>pxm0057</v>
          </cell>
        </row>
        <row r="70">
          <cell r="I70" t="str">
            <v>gpj0014</v>
          </cell>
        </row>
        <row r="71">
          <cell r="I71" t="str">
            <v>ncz0078</v>
          </cell>
        </row>
        <row r="72">
          <cell r="I72" t="str">
            <v>ncz0077</v>
          </cell>
        </row>
        <row r="73">
          <cell r="I73" t="str">
            <v>gpj0013</v>
          </cell>
        </row>
        <row r="74">
          <cell r="I74" t="str">
            <v>dat1379</v>
          </cell>
        </row>
        <row r="75">
          <cell r="I75" t="str">
            <v>pxm0054</v>
          </cell>
        </row>
        <row r="76">
          <cell r="I76" t="str">
            <v>dat1381</v>
          </cell>
        </row>
        <row r="77">
          <cell r="I77" t="str">
            <v>dat1382</v>
          </cell>
        </row>
        <row r="78">
          <cell r="I78" t="str">
            <v>dat1383</v>
          </cell>
        </row>
        <row r="79">
          <cell r="I79" t="str">
            <v>pxm0058</v>
          </cell>
        </row>
        <row r="80">
          <cell r="I80" t="str">
            <v>ncz0079</v>
          </cell>
        </row>
        <row r="81">
          <cell r="I81" t="str">
            <v>pxm0059</v>
          </cell>
        </row>
        <row r="82">
          <cell r="I82" t="str">
            <v>ncz0080</v>
          </cell>
        </row>
        <row r="83">
          <cell r="I83" t="str">
            <v>pxm0053</v>
          </cell>
        </row>
        <row r="84">
          <cell r="I84" t="str">
            <v>pxm0056</v>
          </cell>
        </row>
        <row r="85">
          <cell r="I85" t="str">
            <v>gpj0017</v>
          </cell>
        </row>
        <row r="86">
          <cell r="I86" t="str">
            <v>gpj0016</v>
          </cell>
        </row>
        <row r="87">
          <cell r="I87" t="str">
            <v>gpj0015</v>
          </cell>
        </row>
        <row r="88">
          <cell r="I88" t="str">
            <v>pxm0060</v>
          </cell>
        </row>
        <row r="89">
          <cell r="I89" t="str">
            <v>pxm0062</v>
          </cell>
        </row>
        <row r="90">
          <cell r="I90" t="str">
            <v>ncz0081</v>
          </cell>
        </row>
        <row r="91">
          <cell r="I91" t="str">
            <v>dat1384</v>
          </cell>
        </row>
        <row r="92">
          <cell r="I92" t="str">
            <v>ncz0086</v>
          </cell>
        </row>
        <row r="93">
          <cell r="I93" t="str">
            <v>pxm0055</v>
          </cell>
        </row>
        <row r="94">
          <cell r="I94" t="str">
            <v>gie0001</v>
          </cell>
        </row>
        <row r="95">
          <cell r="I95" t="str">
            <v>pxm0061</v>
          </cell>
        </row>
        <row r="96">
          <cell r="I96" t="str">
            <v>pxm0063</v>
          </cell>
        </row>
        <row r="97">
          <cell r="I97" t="str">
            <v>pxm0064</v>
          </cell>
        </row>
        <row r="98">
          <cell r="I98" t="str">
            <v>pxm0066</v>
          </cell>
        </row>
        <row r="99">
          <cell r="I99" t="str">
            <v>dat1391</v>
          </cell>
        </row>
        <row r="100">
          <cell r="I100" t="str">
            <v>pxt0051</v>
          </cell>
        </row>
        <row r="101">
          <cell r="I101" t="str">
            <v>gpj0018</v>
          </cell>
        </row>
        <row r="102">
          <cell r="I102" t="str">
            <v>ncz0087</v>
          </cell>
        </row>
        <row r="103">
          <cell r="I103" t="str">
            <v>ncz0085</v>
          </cell>
        </row>
        <row r="104">
          <cell r="I104" t="str">
            <v>dat1385</v>
          </cell>
        </row>
        <row r="105">
          <cell r="I105" t="str">
            <v>dat1386</v>
          </cell>
        </row>
        <row r="106">
          <cell r="I106" t="str">
            <v>pxm0065</v>
          </cell>
        </row>
        <row r="107">
          <cell r="I107" t="str">
            <v>ncz0082</v>
          </cell>
        </row>
        <row r="108">
          <cell r="I108" t="str">
            <v>pxm0068</v>
          </cell>
        </row>
        <row r="109">
          <cell r="I109" t="str">
            <v>pxm0067</v>
          </cell>
        </row>
        <row r="110">
          <cell r="I110" t="str">
            <v>pxm0069</v>
          </cell>
        </row>
        <row r="111">
          <cell r="I111" t="str">
            <v>ncz0088</v>
          </cell>
        </row>
        <row r="112">
          <cell r="I112" t="str">
            <v>gpj0019</v>
          </cell>
        </row>
        <row r="113">
          <cell r="I113" t="str">
            <v>dat1387</v>
          </cell>
        </row>
        <row r="114">
          <cell r="I114" t="str">
            <v>ncz0089</v>
          </cell>
        </row>
        <row r="115">
          <cell r="I115" t="str">
            <v>pxm0070</v>
          </cell>
        </row>
        <row r="116">
          <cell r="I116" t="str">
            <v>dat1388</v>
          </cell>
        </row>
        <row r="117">
          <cell r="I117" t="str">
            <v>pxm0072</v>
          </cell>
        </row>
        <row r="118">
          <cell r="I118" t="str">
            <v>pxm0073</v>
          </cell>
        </row>
        <row r="119">
          <cell r="I119" t="str">
            <v>pxm0075</v>
          </cell>
        </row>
        <row r="120">
          <cell r="I120" t="str">
            <v>pxm0071</v>
          </cell>
        </row>
        <row r="121">
          <cell r="I121" t="str">
            <v>gpj0021</v>
          </cell>
        </row>
        <row r="122">
          <cell r="I122" t="str">
            <v>pxm0074</v>
          </cell>
        </row>
        <row r="123">
          <cell r="I123" t="str">
            <v>gpj0020</v>
          </cell>
        </row>
        <row r="124">
          <cell r="I124" t="str">
            <v>ncz0091</v>
          </cell>
        </row>
        <row r="125">
          <cell r="I125" t="str">
            <v>pxt0052</v>
          </cell>
        </row>
        <row r="126">
          <cell r="I126" t="str">
            <v>ncz0111</v>
          </cell>
        </row>
        <row r="127">
          <cell r="I127" t="str">
            <v>gie0002</v>
          </cell>
        </row>
        <row r="128">
          <cell r="I128" t="str">
            <v>ncz0083</v>
          </cell>
        </row>
        <row r="130">
          <cell r="I130" t="str">
            <v>ncz0090</v>
          </cell>
        </row>
        <row r="131">
          <cell r="I131" t="str">
            <v>dat1392</v>
          </cell>
        </row>
        <row r="132">
          <cell r="I132" t="str">
            <v>gpj0022</v>
          </cell>
        </row>
        <row r="133">
          <cell r="I133" t="str">
            <v>pxm0076</v>
          </cell>
        </row>
        <row r="134">
          <cell r="I134" t="str">
            <v>pxm0077</v>
          </cell>
        </row>
        <row r="135">
          <cell r="I135" t="str">
            <v>pxm0078</v>
          </cell>
        </row>
        <row r="136">
          <cell r="I136" t="str">
            <v>gpj0023</v>
          </cell>
        </row>
        <row r="137">
          <cell r="I137" t="str">
            <v>ncz0093</v>
          </cell>
        </row>
        <row r="138">
          <cell r="I138" t="str">
            <v>pxm0079</v>
          </cell>
        </row>
        <row r="139">
          <cell r="I139" t="str">
            <v>pxm0080</v>
          </cell>
        </row>
        <row r="140">
          <cell r="I140" t="str">
            <v>dat1389</v>
          </cell>
        </row>
        <row r="141">
          <cell r="I141" t="str">
            <v>gpj0024</v>
          </cell>
        </row>
        <row r="142">
          <cell r="I142" t="str">
            <v>gpj0025</v>
          </cell>
        </row>
        <row r="143">
          <cell r="I143" t="str">
            <v>ncz0094</v>
          </cell>
        </row>
        <row r="144">
          <cell r="I144" t="str">
            <v>dat1416</v>
          </cell>
        </row>
        <row r="145">
          <cell r="I145" t="str">
            <v>dat1418</v>
          </cell>
        </row>
        <row r="146">
          <cell r="I146" t="str">
            <v>ncz0092</v>
          </cell>
        </row>
        <row r="147">
          <cell r="I147" t="str">
            <v>dat1390</v>
          </cell>
        </row>
        <row r="148">
          <cell r="I148" t="str">
            <v>gpj0026</v>
          </cell>
        </row>
        <row r="149">
          <cell r="I149" t="str">
            <v>ncz0084</v>
          </cell>
        </row>
        <row r="150">
          <cell r="I150" t="str">
            <v>pxm0081</v>
          </cell>
        </row>
        <row r="151">
          <cell r="I151" t="str">
            <v>dat1417</v>
          </cell>
        </row>
        <row r="152">
          <cell r="I152" t="str">
            <v>pxm0082</v>
          </cell>
        </row>
        <row r="153">
          <cell r="I153" t="str">
            <v>dat1412</v>
          </cell>
        </row>
        <row r="154">
          <cell r="I154" t="str">
            <v>ncz0096</v>
          </cell>
        </row>
        <row r="155">
          <cell r="I155" t="str">
            <v>ncz0116</v>
          </cell>
        </row>
        <row r="156">
          <cell r="I156" t="str">
            <v>dat1413</v>
          </cell>
        </row>
        <row r="157">
          <cell r="I157" t="str">
            <v>dat1414</v>
          </cell>
        </row>
        <row r="158">
          <cell r="I158" t="str">
            <v>pxm0084</v>
          </cell>
        </row>
        <row r="159">
          <cell r="I159" t="str">
            <v>gpj0028</v>
          </cell>
        </row>
        <row r="160">
          <cell r="I160" t="str">
            <v>pxm0083</v>
          </cell>
        </row>
        <row r="161">
          <cell r="I161" t="str">
            <v>dat1415</v>
          </cell>
        </row>
        <row r="162">
          <cell r="I162" t="str">
            <v>ncz0095</v>
          </cell>
        </row>
        <row r="163">
          <cell r="I163" t="str">
            <v>pxm0085</v>
          </cell>
        </row>
        <row r="164">
          <cell r="I164" t="str">
            <v>dat1427</v>
          </cell>
        </row>
        <row r="165">
          <cell r="I165" t="str">
            <v>ncz0097</v>
          </cell>
        </row>
        <row r="167">
          <cell r="I167" t="str">
            <v>pxm0086</v>
          </cell>
        </row>
        <row r="168">
          <cell r="I168" t="str">
            <v>pxm0087</v>
          </cell>
        </row>
        <row r="169">
          <cell r="I169" t="str">
            <v>gpj0027</v>
          </cell>
        </row>
        <row r="170">
          <cell r="I170" t="str">
            <v>dat1428</v>
          </cell>
        </row>
        <row r="171">
          <cell r="I171" t="str">
            <v>dat1429</v>
          </cell>
        </row>
        <row r="172">
          <cell r="I172" t="str">
            <v>dat1437</v>
          </cell>
        </row>
        <row r="173">
          <cell r="I173" t="str">
            <v>dat1436</v>
          </cell>
        </row>
        <row r="174">
          <cell r="I174" t="str">
            <v>px0321</v>
          </cell>
        </row>
        <row r="175">
          <cell r="I175" t="str">
            <v>ncz0112</v>
          </cell>
        </row>
        <row r="176">
          <cell r="I176" t="str">
            <v>gpj0029</v>
          </cell>
        </row>
        <row r="177">
          <cell r="I177" t="str">
            <v>dat1426</v>
          </cell>
        </row>
        <row r="178">
          <cell r="I178" t="str">
            <v>dat1430</v>
          </cell>
        </row>
        <row r="179">
          <cell r="I179" t="str">
            <v>dat1438</v>
          </cell>
        </row>
        <row r="180">
          <cell r="I180" t="str">
            <v>dat1431</v>
          </cell>
        </row>
        <row r="181">
          <cell r="I181" t="str">
            <v>dat1432</v>
          </cell>
        </row>
        <row r="182">
          <cell r="I182" t="str">
            <v>px0323</v>
          </cell>
        </row>
        <row r="183">
          <cell r="I183" t="str">
            <v>dat1433</v>
          </cell>
        </row>
        <row r="184">
          <cell r="I184" t="str">
            <v>ncz0098</v>
          </cell>
        </row>
        <row r="185">
          <cell r="I185" t="str">
            <v>gpj0032</v>
          </cell>
        </row>
        <row r="186">
          <cell r="I186" t="str">
            <v>px0322</v>
          </cell>
        </row>
        <row r="187">
          <cell r="I187" t="str">
            <v>px0324</v>
          </cell>
        </row>
        <row r="188">
          <cell r="I188" t="str">
            <v>dat1434</v>
          </cell>
        </row>
        <row r="189">
          <cell r="I189" t="str">
            <v>dat1435</v>
          </cell>
        </row>
        <row r="190">
          <cell r="I190" t="str">
            <v>hop0001</v>
          </cell>
        </row>
        <row r="191">
          <cell r="I191" t="str">
            <v>hop0002</v>
          </cell>
        </row>
        <row r="192">
          <cell r="I192" t="str">
            <v>gpj0030</v>
          </cell>
        </row>
        <row r="193">
          <cell r="I193" t="str">
            <v>px0325</v>
          </cell>
        </row>
        <row r="194">
          <cell r="I194" t="str">
            <v>dat1456</v>
          </cell>
        </row>
        <row r="195">
          <cell r="I195" t="str">
            <v>dat1457</v>
          </cell>
        </row>
        <row r="196">
          <cell r="I196" t="str">
            <v>px0326</v>
          </cell>
        </row>
        <row r="197">
          <cell r="I197" t="str">
            <v>dat1458</v>
          </cell>
        </row>
        <row r="198">
          <cell r="I198" t="str">
            <v>dat1459</v>
          </cell>
        </row>
        <row r="199">
          <cell r="I199" t="str">
            <v>gpj0031</v>
          </cell>
        </row>
        <row r="200">
          <cell r="I200" t="str">
            <v>ncz0099</v>
          </cell>
        </row>
        <row r="201">
          <cell r="I201" t="str">
            <v>px0329</v>
          </cell>
        </row>
        <row r="202">
          <cell r="I202" t="str">
            <v>ncz0113</v>
          </cell>
        </row>
        <row r="203">
          <cell r="I203" t="str">
            <v>px0327</v>
          </cell>
        </row>
        <row r="204">
          <cell r="I204" t="str">
            <v>dat1439</v>
          </cell>
        </row>
        <row r="205">
          <cell r="I205" t="str">
            <v>psl0001</v>
          </cell>
        </row>
        <row r="206">
          <cell r="I206" t="str">
            <v>dat1460</v>
          </cell>
        </row>
        <row r="207">
          <cell r="I207" t="str">
            <v>hop0003</v>
          </cell>
        </row>
        <row r="208">
          <cell r="I208" t="str">
            <v>dat1493</v>
          </cell>
        </row>
        <row r="209">
          <cell r="I209" t="str">
            <v>px0328</v>
          </cell>
        </row>
        <row r="210">
          <cell r="I210" t="str">
            <v>dat1491</v>
          </cell>
        </row>
        <row r="211">
          <cell r="I211" t="str">
            <v>px0331</v>
          </cell>
        </row>
        <row r="212">
          <cell r="I212" t="str">
            <v>gpj0033</v>
          </cell>
        </row>
        <row r="213">
          <cell r="I213" t="str">
            <v>dat1492</v>
          </cell>
        </row>
        <row r="214">
          <cell r="I214" t="str">
            <v>px0330</v>
          </cell>
        </row>
        <row r="215">
          <cell r="I215" t="str">
            <v>ncz0114</v>
          </cell>
        </row>
        <row r="216">
          <cell r="I216" t="str">
            <v>dat1461</v>
          </cell>
        </row>
        <row r="217">
          <cell r="I217" t="str">
            <v>dat1448</v>
          </cell>
        </row>
        <row r="218">
          <cell r="I218" t="str">
            <v>dat1449</v>
          </cell>
        </row>
        <row r="219">
          <cell r="I219" t="str">
            <v>hop0004</v>
          </cell>
        </row>
        <row r="220">
          <cell r="I220" t="str">
            <v>ncz0117</v>
          </cell>
        </row>
        <row r="221">
          <cell r="I221" t="str">
            <v>px0332</v>
          </cell>
        </row>
        <row r="222">
          <cell r="I222" t="str">
            <v>dat1462</v>
          </cell>
        </row>
        <row r="223">
          <cell r="I223" t="str">
            <v>gpj0034</v>
          </cell>
        </row>
        <row r="224">
          <cell r="I224" t="str">
            <v>dat1500</v>
          </cell>
        </row>
        <row r="225">
          <cell r="I225" t="str">
            <v>dat1494</v>
          </cell>
        </row>
        <row r="226">
          <cell r="I226" t="str">
            <v>dat1450</v>
          </cell>
        </row>
        <row r="227">
          <cell r="I227" t="str">
            <v>hop0005</v>
          </cell>
        </row>
        <row r="228">
          <cell r="I228" t="str">
            <v>dat1463</v>
          </cell>
        </row>
        <row r="229">
          <cell r="I229" t="str">
            <v>dat1464</v>
          </cell>
        </row>
        <row r="230">
          <cell r="I230" t="str">
            <v>dat1471</v>
          </cell>
        </row>
        <row r="231">
          <cell r="I231" t="str">
            <v>dat1472</v>
          </cell>
        </row>
        <row r="232">
          <cell r="I232" t="str">
            <v>px0333</v>
          </cell>
        </row>
        <row r="233">
          <cell r="I233" t="str">
            <v>px0335</v>
          </cell>
        </row>
        <row r="234">
          <cell r="I234" t="str">
            <v>gpj0035</v>
          </cell>
        </row>
        <row r="235">
          <cell r="I235" t="str">
            <v>dat1473</v>
          </cell>
        </row>
        <row r="236">
          <cell r="I236" t="str">
            <v>ncz0118</v>
          </cell>
        </row>
        <row r="237">
          <cell r="I237" t="str">
            <v>px0334</v>
          </cell>
        </row>
        <row r="238">
          <cell r="I238" t="str">
            <v>ncz0115</v>
          </cell>
        </row>
        <row r="239">
          <cell r="I239" t="str">
            <v>dat1495</v>
          </cell>
        </row>
        <row r="240">
          <cell r="I240" t="str">
            <v>psl0002</v>
          </cell>
        </row>
        <row r="241">
          <cell r="I241" t="str">
            <v>px0336</v>
          </cell>
        </row>
        <row r="242">
          <cell r="I242" t="str">
            <v>px0339</v>
          </cell>
        </row>
        <row r="243">
          <cell r="I243" t="str">
            <v>gpj0036</v>
          </cell>
        </row>
        <row r="244">
          <cell r="I244" t="str">
            <v>dat1465</v>
          </cell>
        </row>
        <row r="245">
          <cell r="I245" t="str">
            <v>psl0005</v>
          </cell>
        </row>
        <row r="246">
          <cell r="I246" t="str">
            <v>dat1474</v>
          </cell>
        </row>
        <row r="247">
          <cell r="I247" t="str">
            <v>hop0006</v>
          </cell>
        </row>
        <row r="248">
          <cell r="I248" t="str">
            <v>hop0007</v>
          </cell>
        </row>
        <row r="249">
          <cell r="I249" t="str">
            <v>ncz0120</v>
          </cell>
        </row>
        <row r="250">
          <cell r="I250" t="str">
            <v>dat1503</v>
          </cell>
        </row>
        <row r="251">
          <cell r="I251" t="str">
            <v>dat1475</v>
          </cell>
        </row>
        <row r="252">
          <cell r="I252" t="str">
            <v>dat1476</v>
          </cell>
        </row>
        <row r="253">
          <cell r="I253" t="str">
            <v>ncz0121</v>
          </cell>
        </row>
        <row r="254">
          <cell r="I254" t="str">
            <v>px0340</v>
          </cell>
        </row>
        <row r="255">
          <cell r="I255" t="str">
            <v>px0338</v>
          </cell>
        </row>
        <row r="256">
          <cell r="I256" t="str">
            <v>px0337</v>
          </cell>
        </row>
        <row r="257">
          <cell r="I257" t="str">
            <v>dat1496</v>
          </cell>
        </row>
        <row r="258">
          <cell r="I258" t="str">
            <v>dat1477</v>
          </cell>
        </row>
        <row r="259">
          <cell r="I259" t="str">
            <v>dat1466</v>
          </cell>
        </row>
        <row r="260">
          <cell r="I260" t="str">
            <v>psl0003</v>
          </cell>
        </row>
        <row r="261">
          <cell r="I261" t="str">
            <v>psl0004</v>
          </cell>
        </row>
        <row r="262">
          <cell r="I262" t="str">
            <v>gpj0038</v>
          </cell>
        </row>
        <row r="263">
          <cell r="I263" t="str">
            <v>gpj0037</v>
          </cell>
        </row>
        <row r="264">
          <cell r="I264" t="str">
            <v>dat1511</v>
          </cell>
        </row>
        <row r="265">
          <cell r="I265" t="str">
            <v>hop0008</v>
          </cell>
        </row>
        <row r="266">
          <cell r="I266" t="str">
            <v>dat1478</v>
          </cell>
        </row>
        <row r="267">
          <cell r="I267" t="str">
            <v>px0342</v>
          </cell>
        </row>
        <row r="268">
          <cell r="I268" t="str">
            <v>px0341</v>
          </cell>
        </row>
        <row r="269">
          <cell r="I269" t="str">
            <v>px0343</v>
          </cell>
        </row>
        <row r="270">
          <cell r="I270" t="str">
            <v>dat1479</v>
          </cell>
        </row>
        <row r="271">
          <cell r="I271" t="str">
            <v>ncz0119</v>
          </cell>
        </row>
        <row r="272">
          <cell r="I272" t="str">
            <v>gpj0040</v>
          </cell>
        </row>
        <row r="273">
          <cell r="I273" t="str">
            <v>psl0006</v>
          </cell>
        </row>
        <row r="274">
          <cell r="I274" t="str">
            <v>psl0007</v>
          </cell>
        </row>
        <row r="275">
          <cell r="I275" t="str">
            <v>psl0008</v>
          </cell>
        </row>
        <row r="276">
          <cell r="I276" t="str">
            <v>gpj0039</v>
          </cell>
        </row>
        <row r="277">
          <cell r="I277" t="str">
            <v>dat1480</v>
          </cell>
        </row>
        <row r="278">
          <cell r="I278" t="str">
            <v>psl0010</v>
          </cell>
        </row>
        <row r="279">
          <cell r="I279" t="str">
            <v>psl0011</v>
          </cell>
        </row>
        <row r="280">
          <cell r="I280" t="str">
            <v>psl0009</v>
          </cell>
        </row>
        <row r="281">
          <cell r="I281" t="str">
            <v>px0345</v>
          </cell>
        </row>
        <row r="282">
          <cell r="I282" t="str">
            <v>ncz0122</v>
          </cell>
        </row>
        <row r="283">
          <cell r="I283" t="str">
            <v>dat1504</v>
          </cell>
        </row>
        <row r="284">
          <cell r="I284" t="str">
            <v>px0344</v>
          </cell>
        </row>
        <row r="285">
          <cell r="I285" t="str">
            <v>dat1513</v>
          </cell>
        </row>
        <row r="286">
          <cell r="I286" t="str">
            <v>dat1481</v>
          </cell>
        </row>
        <row r="287">
          <cell r="I287" t="str">
            <v>dat1482</v>
          </cell>
        </row>
        <row r="288">
          <cell r="I288" t="str">
            <v>gpj0041</v>
          </cell>
        </row>
        <row r="289">
          <cell r="I289" t="str">
            <v>dat1484</v>
          </cell>
        </row>
        <row r="290">
          <cell r="I290" t="str">
            <v>dat1483</v>
          </cell>
        </row>
        <row r="291">
          <cell r="I291" t="str">
            <v>px0347</v>
          </cell>
        </row>
        <row r="292">
          <cell r="I292" t="str">
            <v>px0350</v>
          </cell>
        </row>
        <row r="293">
          <cell r="I293" t="str">
            <v>dat1514</v>
          </cell>
        </row>
        <row r="294">
          <cell r="I294" t="str">
            <v>gpj0042</v>
          </cell>
        </row>
        <row r="295">
          <cell r="I295" t="str">
            <v>gpj0043</v>
          </cell>
        </row>
        <row r="296">
          <cell r="I296" t="str">
            <v>dat1512</v>
          </cell>
        </row>
        <row r="297">
          <cell r="I297" t="str">
            <v>psl0012</v>
          </cell>
        </row>
        <row r="298">
          <cell r="I298" t="str">
            <v>psl0013</v>
          </cell>
        </row>
        <row r="299">
          <cell r="I299" t="str">
            <v>psl0014</v>
          </cell>
        </row>
        <row r="300">
          <cell r="I300" t="str">
            <v>dat1451</v>
          </cell>
        </row>
        <row r="301">
          <cell r="I301" t="str">
            <v>hop0013</v>
          </cell>
        </row>
        <row r="302">
          <cell r="I302" t="str">
            <v>ncz0129</v>
          </cell>
        </row>
        <row r="303">
          <cell r="I303" t="str">
            <v>px0346</v>
          </cell>
        </row>
        <row r="304">
          <cell r="I304" t="str">
            <v>px0348</v>
          </cell>
        </row>
        <row r="305">
          <cell r="I305" t="str">
            <v>px0349</v>
          </cell>
        </row>
        <row r="306">
          <cell r="I306" t="str">
            <v>ncz0123</v>
          </cell>
        </row>
        <row r="307">
          <cell r="I307" t="str">
            <v>dat1485</v>
          </cell>
        </row>
        <row r="308">
          <cell r="I308" t="str">
            <v>dat1486</v>
          </cell>
        </row>
        <row r="309">
          <cell r="I309" t="str">
            <v>dat1487</v>
          </cell>
        </row>
        <row r="310">
          <cell r="I310" t="str">
            <v>dat1488</v>
          </cell>
        </row>
        <row r="311">
          <cell r="I311" t="str">
            <v>dat1515</v>
          </cell>
        </row>
        <row r="312">
          <cell r="I312" t="str">
            <v>px0351</v>
          </cell>
        </row>
        <row r="313">
          <cell r="I313" t="str">
            <v>dat1516</v>
          </cell>
        </row>
        <row r="314">
          <cell r="I314" t="str">
            <v>dat1489</v>
          </cell>
        </row>
        <row r="315">
          <cell r="I315" t="str">
            <v>px0352</v>
          </cell>
        </row>
        <row r="316">
          <cell r="I316" t="str">
            <v>psl0015</v>
          </cell>
        </row>
        <row r="317">
          <cell r="I317" t="str">
            <v>dat1490</v>
          </cell>
        </row>
        <row r="318">
          <cell r="I318" t="str">
            <v>dat1519</v>
          </cell>
        </row>
        <row r="319">
          <cell r="I319" t="str">
            <v>dat1517</v>
          </cell>
        </row>
        <row r="320">
          <cell r="I320" t="str">
            <v>dat1538</v>
          </cell>
        </row>
        <row r="321">
          <cell r="I321" t="str">
            <v>dat1520</v>
          </cell>
        </row>
        <row r="322">
          <cell r="I322" t="str">
            <v>gpj0044</v>
          </cell>
        </row>
        <row r="323">
          <cell r="I323" t="str">
            <v>dat1452</v>
          </cell>
        </row>
        <row r="324">
          <cell r="I324" t="str">
            <v>dat1455</v>
          </cell>
        </row>
        <row r="325">
          <cell r="I325" t="str">
            <v>hop0009</v>
          </cell>
        </row>
        <row r="326">
          <cell r="I326" t="str">
            <v>gpj0045</v>
          </cell>
        </row>
        <row r="327">
          <cell r="I327" t="str">
            <v>dat1522</v>
          </cell>
        </row>
        <row r="328">
          <cell r="I328" t="str">
            <v>px0353</v>
          </cell>
        </row>
        <row r="329">
          <cell r="I329" t="str">
            <v>dat1524</v>
          </cell>
        </row>
        <row r="330">
          <cell r="I330" t="str">
            <v>dat1526</v>
          </cell>
        </row>
        <row r="331">
          <cell r="I331" t="str">
            <v>gpj0046</v>
          </cell>
        </row>
        <row r="332">
          <cell r="I332" t="str">
            <v>psl0016</v>
          </cell>
        </row>
        <row r="333">
          <cell r="I333" t="str">
            <v>hop0010</v>
          </cell>
        </row>
        <row r="334">
          <cell r="I334" t="str">
            <v>psl0017</v>
          </cell>
        </row>
        <row r="335">
          <cell r="I335" t="str">
            <v>psl0018</v>
          </cell>
        </row>
        <row r="336">
          <cell r="I336" t="str">
            <v>dat1518</v>
          </cell>
        </row>
        <row r="337">
          <cell r="I337" t="str">
            <v>hop0011</v>
          </cell>
        </row>
        <row r="338">
          <cell r="I338" t="str">
            <v>hop0014</v>
          </cell>
        </row>
        <row r="339">
          <cell r="I339" t="str">
            <v>gpj0047</v>
          </cell>
        </row>
        <row r="340">
          <cell r="I340" t="str">
            <v>ncz0124</v>
          </cell>
        </row>
        <row r="341">
          <cell r="I341" t="str">
            <v>px0354</v>
          </cell>
        </row>
        <row r="342">
          <cell r="I342" t="str">
            <v>dat1530</v>
          </cell>
        </row>
        <row r="343">
          <cell r="I343" t="str">
            <v>dat1521</v>
          </cell>
        </row>
        <row r="344">
          <cell r="I344" t="str">
            <v>dat1523</v>
          </cell>
        </row>
        <row r="345">
          <cell r="I345" t="str">
            <v>dat1525</v>
          </cell>
        </row>
        <row r="346">
          <cell r="I346" t="str">
            <v>px0355</v>
          </cell>
        </row>
        <row r="347">
          <cell r="I347" t="str">
            <v>dat1527</v>
          </cell>
        </row>
        <row r="348">
          <cell r="I348" t="str">
            <v>dat1529</v>
          </cell>
        </row>
        <row r="349">
          <cell r="I349" t="str">
            <v>ncz0130</v>
          </cell>
        </row>
        <row r="350">
          <cell r="I350" t="str">
            <v>px0357</v>
          </cell>
        </row>
        <row r="351">
          <cell r="I351" t="str">
            <v>dat1543</v>
          </cell>
        </row>
        <row r="352">
          <cell r="I352" t="str">
            <v>dat1539</v>
          </cell>
        </row>
        <row r="353">
          <cell r="I353" t="str">
            <v>dat1545</v>
          </cell>
        </row>
        <row r="354">
          <cell r="I354" t="str">
            <v>dat1528</v>
          </cell>
        </row>
        <row r="355">
          <cell r="I355" t="str">
            <v>px0356</v>
          </cell>
        </row>
        <row r="356">
          <cell r="I356" t="str">
            <v>dat1453</v>
          </cell>
        </row>
        <row r="357">
          <cell r="I357" t="str">
            <v>psl0019</v>
          </cell>
        </row>
        <row r="358">
          <cell r="I358" t="str">
            <v>psl0020</v>
          </cell>
        </row>
        <row r="359">
          <cell r="I359" t="str">
            <v>dat1541</v>
          </cell>
        </row>
        <row r="360">
          <cell r="I360" t="str">
            <v>dat1542</v>
          </cell>
        </row>
        <row r="361">
          <cell r="I361" t="str">
            <v>dat1544</v>
          </cell>
        </row>
        <row r="362">
          <cell r="I362" t="str">
            <v>gpj0048</v>
          </cell>
        </row>
        <row r="363">
          <cell r="I363" t="str">
            <v>px0358</v>
          </cell>
        </row>
        <row r="364">
          <cell r="I364" t="str">
            <v>dat1551</v>
          </cell>
        </row>
        <row r="365">
          <cell r="I365" t="str">
            <v>dat1546</v>
          </cell>
        </row>
        <row r="366">
          <cell r="I366" t="str">
            <v>dat1547</v>
          </cell>
        </row>
        <row r="367">
          <cell r="I367" t="str">
            <v>dat1548</v>
          </cell>
        </row>
        <row r="368">
          <cell r="I368" t="str">
            <v>psl0021</v>
          </cell>
        </row>
        <row r="369">
          <cell r="I369" t="str">
            <v>ncz0125</v>
          </cell>
        </row>
        <row r="370">
          <cell r="I370" t="str">
            <v>gpj0049</v>
          </cell>
        </row>
        <row r="371">
          <cell r="I371" t="str">
            <v>dat1549</v>
          </cell>
        </row>
        <row r="372">
          <cell r="I372" t="str">
            <v>dat1550</v>
          </cell>
        </row>
        <row r="373">
          <cell r="I373" t="str">
            <v>dat1561</v>
          </cell>
        </row>
        <row r="374">
          <cell r="I374" t="str">
            <v>dat1562</v>
          </cell>
        </row>
        <row r="375">
          <cell r="I375" t="str">
            <v>dat1563</v>
          </cell>
        </row>
        <row r="376">
          <cell r="I376" t="str">
            <v>px0360</v>
          </cell>
        </row>
        <row r="377">
          <cell r="I377" t="str">
            <v>gpj0050</v>
          </cell>
        </row>
        <row r="378">
          <cell r="I378" t="str">
            <v>px0359</v>
          </cell>
        </row>
        <row r="379">
          <cell r="I379" t="str">
            <v>px0361</v>
          </cell>
        </row>
        <row r="380">
          <cell r="I380" t="str">
            <v>dat1559</v>
          </cell>
        </row>
        <row r="381">
          <cell r="I381" t="str">
            <v>dat1564</v>
          </cell>
        </row>
        <row r="382">
          <cell r="I382" t="str">
            <v>dat1565</v>
          </cell>
        </row>
        <row r="383">
          <cell r="I383" t="str">
            <v>dat1566</v>
          </cell>
        </row>
        <row r="384">
          <cell r="I384" t="str">
            <v>dat1567</v>
          </cell>
        </row>
        <row r="385">
          <cell r="I385" t="str">
            <v>dat1571</v>
          </cell>
        </row>
        <row r="386">
          <cell r="I386" t="str">
            <v>ncz0133</v>
          </cell>
        </row>
        <row r="387">
          <cell r="I387" t="str">
            <v>px0362</v>
          </cell>
        </row>
        <row r="388">
          <cell r="I388" t="str">
            <v>dat1568</v>
          </cell>
        </row>
        <row r="389">
          <cell r="I389" t="str">
            <v>psl0022</v>
          </cell>
        </row>
        <row r="390">
          <cell r="I390" t="str">
            <v>px0363</v>
          </cell>
        </row>
        <row r="391">
          <cell r="I391" t="str">
            <v>dat1569</v>
          </cell>
        </row>
        <row r="392">
          <cell r="I392" t="str">
            <v>dat1570</v>
          </cell>
        </row>
        <row r="393">
          <cell r="I393" t="str">
            <v>psl0023</v>
          </cell>
        </row>
        <row r="394">
          <cell r="I394" t="str">
            <v>psl0025</v>
          </cell>
        </row>
        <row r="395">
          <cell r="I395" t="str">
            <v>dat1576</v>
          </cell>
        </row>
        <row r="396">
          <cell r="I396" t="str">
            <v>dat1560</v>
          </cell>
        </row>
        <row r="397">
          <cell r="I397" t="str">
            <v>px0365</v>
          </cell>
        </row>
        <row r="398">
          <cell r="I398" t="str">
            <v>dat1572</v>
          </cell>
        </row>
        <row r="399">
          <cell r="I399" t="str">
            <v>dat1577</v>
          </cell>
        </row>
        <row r="400">
          <cell r="I400" t="str">
            <v>gpj0051</v>
          </cell>
        </row>
        <row r="401">
          <cell r="I401" t="str">
            <v>px0364</v>
          </cell>
        </row>
        <row r="402">
          <cell r="I402" t="str">
            <v>dat1578</v>
          </cell>
        </row>
        <row r="403">
          <cell r="I403" t="str">
            <v>dat1579</v>
          </cell>
        </row>
        <row r="404">
          <cell r="I404" t="str">
            <v>dat1580</v>
          </cell>
        </row>
        <row r="405">
          <cell r="I405" t="str">
            <v>psl0024</v>
          </cell>
        </row>
        <row r="406">
          <cell r="I406" t="str">
            <v>px0366</v>
          </cell>
        </row>
        <row r="407">
          <cell r="I407" t="str">
            <v>gpj0052</v>
          </cell>
        </row>
        <row r="408">
          <cell r="I408" t="str">
            <v>ncz0134</v>
          </cell>
        </row>
        <row r="409">
          <cell r="I409" t="str">
            <v>hop0015</v>
          </cell>
        </row>
        <row r="410">
          <cell r="I410" t="str">
            <v>dat1581</v>
          </cell>
        </row>
        <row r="411">
          <cell r="I411" t="str">
            <v>dat1454</v>
          </cell>
        </row>
      </sheetData>
      <sheetData sheetId="12"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5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8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>
            <v>20</v>
          </cell>
        </row>
        <row r="25">
          <cell r="A25">
            <v>21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</row>
        <row r="31">
          <cell r="A31">
            <v>27</v>
          </cell>
        </row>
        <row r="32">
          <cell r="A32">
            <v>28</v>
          </cell>
        </row>
        <row r="33">
          <cell r="A33">
            <v>29</v>
          </cell>
        </row>
        <row r="34">
          <cell r="A34">
            <v>30</v>
          </cell>
        </row>
      </sheetData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id="1" name="Table738" displayName="Table738" ref="C2:E249" totalsRowShown="0" headerRowDxfId="35" dataDxfId="34">
  <autoFilter ref="C2:E249"/>
  <sortState ref="C3:E249">
    <sortCondition ref="C2:C249"/>
  </sortState>
  <tableColumns count="3">
    <tableColumn id="1" name="เส้นทาง" dataDxfId="33"/>
    <tableColumn id="2" name="ระยะทาง" dataDxfId="32"/>
    <tableColumn id="3" name="ร.เปล่า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9" displayName="Table9" ref="L2:Q174" totalsRowShown="0" headerRowDxfId="30" dataDxfId="29">
  <autoFilter ref="L2:Q174"/>
  <sortState ref="L3:Q174">
    <sortCondition ref="L2:L174"/>
  </sortState>
  <tableColumns count="6">
    <tableColumn id="1" name="เส้นทาง" dataDxfId="28"/>
    <tableColumn id="2" name="ระยะทาง" dataDxfId="27"/>
    <tableColumn id="3" name="ร.หนัก" dataDxfId="26"/>
    <tableColumn id="4" name="เวลาปั่นไฟ" dataDxfId="25"/>
    <tableColumn id="5" name="ร.ปั่นไฟ" dataDxfId="24"/>
    <tableColumn id="6" name="ค่าเที่ยว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2" displayName="Table12" ref="S2:X18" totalsRowShown="0" headerRowDxfId="22" dataDxfId="21">
  <autoFilter ref="S2:X18"/>
  <sortState ref="S3:X17">
    <sortCondition ref="S2:S17"/>
  </sortState>
  <tableColumns count="6">
    <tableColumn id="1" name="เส้นทางหนักลาว" dataDxfId="20"/>
    <tableColumn id="2" name="ระยะทาง" dataDxfId="19"/>
    <tableColumn id="3" name="เรท" dataDxfId="18"/>
    <tableColumn id="4" name="ช.ปั่นไฟ" dataDxfId="17"/>
    <tableColumn id="5" name="ร.ปั่นไฟ" dataDxfId="16"/>
    <tableColumn id="6" name="ค่าเที่ยว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Z2:AC14" totalsRowShown="0" headerRowDxfId="14" dataDxfId="13">
  <autoFilter ref="Z2:AC14"/>
  <sortState ref="Z3:AC13">
    <sortCondition ref="Z2:Z13"/>
  </sortState>
  <tableColumns count="4">
    <tableColumn id="1" name="เส้นทางเปล่าลาว" dataDxfId="12"/>
    <tableColumn id="2" name="ระยะทาง" dataDxfId="11"/>
    <tableColumn id="3" name="เรท" dataDxfId="10"/>
    <tableColumn id="4" name="เรทข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638" displayName="Table638" ref="A2:A81" totalsRowShown="0" headerRowDxfId="8" dataDxfId="7">
  <autoFilter ref="A2:A81"/>
  <sortState ref="A3:A66">
    <sortCondition ref="A2:A66"/>
  </sortState>
  <tableColumns count="1">
    <tableColumn id="1" name="สถานที่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73844" displayName="Table73844" ref="G2:J249" totalsRowShown="0" headerRowDxfId="5" dataDxfId="4">
  <autoFilter ref="G2:J249"/>
  <sortState ref="G3:J249">
    <sortCondition ref="G2:G249"/>
  </sortState>
  <tableColumns count="4">
    <tableColumn id="1" name="เส้นทาง" dataDxfId="3"/>
    <tableColumn id="2" name="ระยะทาง" dataDxfId="2"/>
    <tableColumn id="4" name="ร.ขนของ" dataDxfId="1"/>
    <tableColumn id="3" name="ค่าเที่ยว" dataDxfId="0">
      <calculatedColumnFormula>IF(Table73844[[#This Row],[ระยะทาง]]&gt;999,1000,IF(Table73844[[#This Row],[ระยะทาง]]&gt;800,800,IF(Table73844[[#This Row],[ระยะทาง]]&gt;500,500,0)))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249"/>
  <sheetViews>
    <sheetView topLeftCell="M1" zoomScaleNormal="100" workbookViewId="0">
      <selection activeCell="Z2" sqref="Z2:Z14"/>
    </sheetView>
  </sheetViews>
  <sheetFormatPr defaultColWidth="8.8984375" defaultRowHeight="13.8" x14ac:dyDescent="0.25"/>
  <cols>
    <col min="1" max="1" width="12.09765625" style="7" bestFit="1" customWidth="1"/>
    <col min="2" max="2" width="2.3984375" style="7" customWidth="1"/>
    <col min="3" max="3" width="23.3984375" style="7" customWidth="1"/>
    <col min="4" max="4" width="11.69921875" style="7" customWidth="1"/>
    <col min="5" max="6" width="8.8984375" style="7"/>
    <col min="7" max="7" width="22.8984375" style="7" bestFit="1" customWidth="1"/>
    <col min="8" max="11" width="8.8984375" style="7"/>
    <col min="12" max="12" width="17.3984375" style="7" bestFit="1" customWidth="1"/>
    <col min="13" max="13" width="11.3984375" style="7" customWidth="1"/>
    <col min="14" max="14" width="9.3984375" style="7" customWidth="1"/>
    <col min="15" max="15" width="13.3984375" style="7" bestFit="1" customWidth="1"/>
    <col min="16" max="18" width="8.8984375" style="7"/>
    <col min="19" max="19" width="18.3984375" style="7" customWidth="1"/>
    <col min="20" max="20" width="11.3984375" style="7" bestFit="1" customWidth="1"/>
    <col min="21" max="21" width="6.3984375" style="7" bestFit="1" customWidth="1"/>
    <col min="22" max="24" width="6.3984375" style="7" customWidth="1"/>
    <col min="25" max="25" width="15.3984375" style="7" customWidth="1"/>
    <col min="26" max="26" width="19.3984375" style="7" bestFit="1" customWidth="1"/>
    <col min="27" max="27" width="11.3984375" style="7" bestFit="1" customWidth="1"/>
    <col min="28" max="28" width="6.3984375" style="7" bestFit="1" customWidth="1"/>
    <col min="29" max="16384" width="8.8984375" style="7"/>
  </cols>
  <sheetData>
    <row r="2" spans="1:29" x14ac:dyDescent="0.25">
      <c r="A2" s="9" t="s">
        <v>421</v>
      </c>
      <c r="C2" s="7" t="s">
        <v>22</v>
      </c>
      <c r="D2" s="7" t="s">
        <v>23</v>
      </c>
      <c r="E2" s="7" t="s">
        <v>24</v>
      </c>
      <c r="G2" s="7" t="s">
        <v>22</v>
      </c>
      <c r="H2" s="7" t="s">
        <v>23</v>
      </c>
      <c r="I2" s="7" t="s">
        <v>25</v>
      </c>
      <c r="J2" s="8" t="s">
        <v>20</v>
      </c>
      <c r="L2" s="7" t="s">
        <v>22</v>
      </c>
      <c r="M2" s="7" t="s">
        <v>23</v>
      </c>
      <c r="N2" s="7" t="s">
        <v>26</v>
      </c>
      <c r="O2" s="7" t="s">
        <v>27</v>
      </c>
      <c r="P2" s="7" t="s">
        <v>28</v>
      </c>
      <c r="Q2" s="7" t="s">
        <v>20</v>
      </c>
      <c r="S2" s="7" t="s">
        <v>29</v>
      </c>
      <c r="T2" s="7" t="s">
        <v>23</v>
      </c>
      <c r="U2" s="7" t="s">
        <v>30</v>
      </c>
      <c r="V2" s="7" t="s">
        <v>31</v>
      </c>
      <c r="W2" s="7" t="s">
        <v>28</v>
      </c>
      <c r="X2" s="7" t="s">
        <v>20</v>
      </c>
      <c r="Z2" s="7" t="s">
        <v>32</v>
      </c>
      <c r="AA2" s="7" t="s">
        <v>23</v>
      </c>
      <c r="AB2" s="7" t="s">
        <v>30</v>
      </c>
      <c r="AC2" s="7" t="s">
        <v>33</v>
      </c>
    </row>
    <row r="3" spans="1:29" x14ac:dyDescent="0.25">
      <c r="A3" s="6" t="s">
        <v>34</v>
      </c>
      <c r="C3" s="8" t="s">
        <v>35</v>
      </c>
      <c r="D3" s="7">
        <v>910</v>
      </c>
      <c r="E3" s="7">
        <v>3.4</v>
      </c>
      <c r="G3" s="8" t="s">
        <v>36</v>
      </c>
      <c r="H3" s="7">
        <v>1050</v>
      </c>
      <c r="I3" s="7">
        <v>3</v>
      </c>
      <c r="J3" s="7">
        <f>IF(Table73844[[#This Row],[ระยะทาง]]&gt;999,1000,IF(Table73844[[#This Row],[ระยะทาง]]&gt;800,800,IF(Table73844[[#This Row],[ระยะทาง]]&gt;500,500,0)))</f>
        <v>1000</v>
      </c>
      <c r="L3" s="8" t="s">
        <v>37</v>
      </c>
      <c r="M3" s="7">
        <v>420</v>
      </c>
      <c r="N3" s="7">
        <v>2.6</v>
      </c>
      <c r="O3" s="7">
        <v>8</v>
      </c>
      <c r="P3" s="7">
        <v>4.7</v>
      </c>
      <c r="Q3" s="7">
        <v>2000</v>
      </c>
      <c r="S3" s="7" t="s">
        <v>38</v>
      </c>
      <c r="T3" s="7">
        <v>160</v>
      </c>
      <c r="U3" s="7">
        <v>2.2000000000000002</v>
      </c>
      <c r="V3" s="7">
        <v>4</v>
      </c>
      <c r="W3" s="7">
        <v>4.7</v>
      </c>
      <c r="X3" s="7">
        <v>1500</v>
      </c>
      <c r="Z3" s="7" t="s">
        <v>38</v>
      </c>
      <c r="AA3" s="7">
        <v>160</v>
      </c>
      <c r="AB3" s="7">
        <v>3</v>
      </c>
      <c r="AC3" s="7">
        <v>2.7</v>
      </c>
    </row>
    <row r="4" spans="1:29" x14ac:dyDescent="0.25">
      <c r="A4" s="6" t="s">
        <v>11</v>
      </c>
      <c r="C4" s="8" t="s">
        <v>39</v>
      </c>
      <c r="D4" s="7">
        <v>980</v>
      </c>
      <c r="E4" s="7">
        <v>3.4</v>
      </c>
      <c r="G4" s="8" t="s">
        <v>35</v>
      </c>
      <c r="H4" s="7">
        <v>910</v>
      </c>
      <c r="I4" s="7">
        <v>3</v>
      </c>
      <c r="J4" s="7">
        <f>IF(Table73844[[#This Row],[ระยะทาง]]&gt;999,1000,IF(Table73844[[#This Row],[ระยะทาง]]&gt;800,800,IF(Table73844[[#This Row],[ระยะทาง]]&gt;500,500,0)))</f>
        <v>800</v>
      </c>
      <c r="L4" s="8" t="s">
        <v>40</v>
      </c>
      <c r="M4" s="7">
        <v>420</v>
      </c>
      <c r="N4" s="7">
        <v>2.6</v>
      </c>
      <c r="O4" s="7">
        <v>8</v>
      </c>
      <c r="P4" s="7">
        <v>4.7</v>
      </c>
      <c r="Q4" s="7">
        <v>2000</v>
      </c>
      <c r="S4" s="7" t="s">
        <v>41</v>
      </c>
      <c r="T4" s="7">
        <v>230</v>
      </c>
      <c r="U4" s="7">
        <v>1.8</v>
      </c>
      <c r="V4" s="7">
        <v>21</v>
      </c>
      <c r="W4" s="7">
        <v>4.7</v>
      </c>
      <c r="X4" s="7">
        <v>2000</v>
      </c>
      <c r="Z4" s="7" t="s">
        <v>42</v>
      </c>
      <c r="AA4" s="7">
        <v>280</v>
      </c>
      <c r="AB4" s="7">
        <v>3</v>
      </c>
      <c r="AC4" s="7">
        <v>2.7</v>
      </c>
    </row>
    <row r="5" spans="1:29" x14ac:dyDescent="0.25">
      <c r="A5" s="6" t="s">
        <v>43</v>
      </c>
      <c r="C5" s="8" t="s">
        <v>44</v>
      </c>
      <c r="D5" s="7">
        <v>1080</v>
      </c>
      <c r="E5" s="7">
        <v>3.4</v>
      </c>
      <c r="G5" s="8" t="s">
        <v>39</v>
      </c>
      <c r="H5" s="7">
        <v>980</v>
      </c>
      <c r="I5" s="7">
        <v>3</v>
      </c>
      <c r="J5" s="7">
        <f>IF(Table73844[[#This Row],[ระยะทาง]]&gt;999,1000,IF(Table73844[[#This Row],[ระยะทาง]]&gt;800,800,IF(Table73844[[#This Row],[ระยะทาง]]&gt;500,500,0)))</f>
        <v>800</v>
      </c>
      <c r="L5" s="7" t="s">
        <v>45</v>
      </c>
      <c r="M5" s="7">
        <v>1100</v>
      </c>
      <c r="N5" s="7">
        <v>2.5499999999999998</v>
      </c>
      <c r="O5" s="7">
        <v>23</v>
      </c>
      <c r="P5" s="7">
        <v>4.7</v>
      </c>
      <c r="Q5" s="7">
        <v>3000</v>
      </c>
      <c r="S5" s="7" t="s">
        <v>46</v>
      </c>
      <c r="T5" s="7">
        <v>160</v>
      </c>
      <c r="U5" s="7">
        <v>2.2000000000000002</v>
      </c>
      <c r="X5" s="7">
        <v>2000</v>
      </c>
      <c r="Z5" s="7" t="s">
        <v>47</v>
      </c>
      <c r="AA5" s="7">
        <v>50</v>
      </c>
      <c r="AB5" s="7">
        <v>3</v>
      </c>
      <c r="AC5" s="7">
        <v>2.7</v>
      </c>
    </row>
    <row r="6" spans="1:29" x14ac:dyDescent="0.25">
      <c r="A6" s="6" t="s">
        <v>48</v>
      </c>
      <c r="C6" s="8" t="s">
        <v>49</v>
      </c>
      <c r="D6" s="7">
        <v>1050</v>
      </c>
      <c r="E6" s="7">
        <v>3.4</v>
      </c>
      <c r="G6" s="8" t="s">
        <v>44</v>
      </c>
      <c r="H6" s="7">
        <v>1080</v>
      </c>
      <c r="I6" s="7">
        <v>3</v>
      </c>
      <c r="J6" s="7">
        <f>IF(Table73844[[#This Row],[ระยะทาง]]&gt;999,1000,IF(Table73844[[#This Row],[ระยะทาง]]&gt;800,800,IF(Table73844[[#This Row],[ระยะทาง]]&gt;500,500,0)))</f>
        <v>1000</v>
      </c>
      <c r="L6" s="7" t="s">
        <v>50</v>
      </c>
      <c r="M6" s="7">
        <v>860</v>
      </c>
      <c r="N6" s="7">
        <v>2.6</v>
      </c>
      <c r="O6" s="7">
        <v>18</v>
      </c>
      <c r="P6" s="7">
        <v>4.7</v>
      </c>
      <c r="Q6" s="7">
        <v>2500</v>
      </c>
      <c r="S6" s="7" t="s">
        <v>51</v>
      </c>
      <c r="T6" s="7">
        <v>160</v>
      </c>
      <c r="U6" s="7">
        <v>2.2000000000000002</v>
      </c>
      <c r="X6" s="7">
        <v>1500</v>
      </c>
      <c r="Z6" s="7" t="s">
        <v>52</v>
      </c>
      <c r="AA6" s="7">
        <v>120</v>
      </c>
      <c r="AB6" s="7">
        <v>3</v>
      </c>
      <c r="AC6" s="7">
        <v>2.7</v>
      </c>
    </row>
    <row r="7" spans="1:29" x14ac:dyDescent="0.25">
      <c r="A7" s="6" t="s">
        <v>53</v>
      </c>
      <c r="C7" s="7" t="s">
        <v>54</v>
      </c>
      <c r="D7" s="7">
        <v>1070</v>
      </c>
      <c r="E7" s="7">
        <v>3.4</v>
      </c>
      <c r="G7" s="8" t="s">
        <v>49</v>
      </c>
      <c r="H7" s="7">
        <v>1050</v>
      </c>
      <c r="I7" s="7">
        <v>3</v>
      </c>
      <c r="J7" s="7">
        <f>IF(Table73844[[#This Row],[ระยะทาง]]&gt;999,1000,IF(Table73844[[#This Row],[ระยะทาง]]&gt;800,800,IF(Table73844[[#This Row],[ระยะทาง]]&gt;500,500,0)))</f>
        <v>1000</v>
      </c>
      <c r="L7" s="7" t="s">
        <v>55</v>
      </c>
      <c r="M7" s="7">
        <v>740</v>
      </c>
      <c r="N7" s="7">
        <v>2.6</v>
      </c>
      <c r="O7" s="7">
        <v>15</v>
      </c>
      <c r="P7" s="7">
        <v>4.7</v>
      </c>
      <c r="Q7" s="7">
        <v>2500</v>
      </c>
      <c r="S7" s="7" t="s">
        <v>56</v>
      </c>
      <c r="T7" s="7">
        <v>160</v>
      </c>
      <c r="U7" s="7">
        <v>2.2000000000000002</v>
      </c>
      <c r="V7" s="7">
        <v>4</v>
      </c>
      <c r="W7" s="7">
        <v>4.7</v>
      </c>
      <c r="X7" s="7">
        <v>1500</v>
      </c>
      <c r="Z7" s="7" t="s">
        <v>57</v>
      </c>
      <c r="AA7" s="7">
        <v>230</v>
      </c>
      <c r="AB7" s="7">
        <v>2.6</v>
      </c>
      <c r="AC7" s="7">
        <v>2.2999999999999998</v>
      </c>
    </row>
    <row r="8" spans="1:29" x14ac:dyDescent="0.25">
      <c r="A8" s="6" t="s">
        <v>58</v>
      </c>
      <c r="C8" s="7" t="s">
        <v>59</v>
      </c>
      <c r="D8" s="7">
        <v>810</v>
      </c>
      <c r="E8" s="7">
        <v>3.4</v>
      </c>
      <c r="G8" s="7" t="s">
        <v>54</v>
      </c>
      <c r="H8" s="7">
        <v>1070</v>
      </c>
      <c r="I8" s="7">
        <v>3</v>
      </c>
      <c r="J8" s="7">
        <f>IF(Table73844[[#This Row],[ระยะทาง]]&gt;999,1000,IF(Table73844[[#This Row],[ระยะทาง]]&gt;800,800,IF(Table73844[[#This Row],[ระยะทาง]]&gt;500,500,0)))</f>
        <v>1000</v>
      </c>
      <c r="L8" s="7" t="s">
        <v>60</v>
      </c>
      <c r="M8" s="7">
        <v>810</v>
      </c>
      <c r="N8" s="7">
        <v>2.6</v>
      </c>
      <c r="O8" s="7">
        <v>17</v>
      </c>
      <c r="P8" s="7">
        <v>4.7</v>
      </c>
      <c r="Q8" s="7">
        <v>2500</v>
      </c>
      <c r="S8" s="7" t="s">
        <v>61</v>
      </c>
      <c r="T8" s="7">
        <v>160</v>
      </c>
      <c r="U8" s="7">
        <v>2.2000000000000002</v>
      </c>
      <c r="V8" s="7">
        <v>4</v>
      </c>
      <c r="W8" s="7">
        <v>4.7</v>
      </c>
      <c r="X8" s="7">
        <v>2000</v>
      </c>
      <c r="Z8" s="7" t="s">
        <v>62</v>
      </c>
      <c r="AA8" s="7">
        <v>-280</v>
      </c>
      <c r="AB8" s="7">
        <v>3</v>
      </c>
      <c r="AC8" s="7">
        <v>2.7</v>
      </c>
    </row>
    <row r="9" spans="1:29" x14ac:dyDescent="0.25">
      <c r="A9" s="6" t="s">
        <v>63</v>
      </c>
      <c r="C9" s="7" t="s">
        <v>64</v>
      </c>
      <c r="D9" s="7">
        <v>1100</v>
      </c>
      <c r="E9" s="7">
        <v>3.35</v>
      </c>
      <c r="G9" s="7" t="s">
        <v>59</v>
      </c>
      <c r="H9" s="7">
        <v>810</v>
      </c>
      <c r="I9" s="7">
        <v>3</v>
      </c>
      <c r="J9" s="7">
        <f>IF(Table73844[[#This Row],[ระยะทาง]]&gt;999,1000,IF(Table73844[[#This Row],[ระยะทาง]]&gt;800,800,IF(Table73844[[#This Row],[ระยะทาง]]&gt;500,500,0)))</f>
        <v>800</v>
      </c>
      <c r="L9" s="7" t="s">
        <v>65</v>
      </c>
      <c r="M9" s="7">
        <v>690</v>
      </c>
      <c r="N9" s="7">
        <v>2.6</v>
      </c>
      <c r="O9" s="7">
        <v>14</v>
      </c>
      <c r="P9" s="7">
        <v>4.7</v>
      </c>
      <c r="Q9" s="7">
        <v>2500</v>
      </c>
      <c r="S9" s="7" t="s">
        <v>66</v>
      </c>
      <c r="T9" s="7">
        <v>50</v>
      </c>
      <c r="U9" s="7">
        <v>2.2000000000000002</v>
      </c>
      <c r="X9" s="7">
        <v>500</v>
      </c>
      <c r="Z9" s="7" t="s">
        <v>67</v>
      </c>
      <c r="AA9" s="7">
        <v>-250</v>
      </c>
      <c r="AB9" s="7">
        <v>3</v>
      </c>
      <c r="AC9" s="7">
        <v>2.7</v>
      </c>
    </row>
    <row r="10" spans="1:29" x14ac:dyDescent="0.25">
      <c r="A10" s="6" t="s">
        <v>68</v>
      </c>
      <c r="C10" s="7" t="s">
        <v>69</v>
      </c>
      <c r="D10" s="7">
        <v>1170</v>
      </c>
      <c r="E10" s="7">
        <v>3.35</v>
      </c>
      <c r="G10" s="7" t="s">
        <v>64</v>
      </c>
      <c r="H10" s="7">
        <v>1100</v>
      </c>
      <c r="I10" s="7">
        <v>2.95</v>
      </c>
      <c r="J10" s="7">
        <f>IF(Table73844[[#This Row],[ระยะทาง]]&gt;999,1000,IF(Table73844[[#This Row],[ระยะทาง]]&gt;800,800,IF(Table73844[[#This Row],[ระยะทาง]]&gt;500,500,0)))</f>
        <v>1000</v>
      </c>
      <c r="L10" s="7" t="s">
        <v>70</v>
      </c>
      <c r="M10" s="7">
        <v>860</v>
      </c>
      <c r="N10" s="7">
        <v>2.6</v>
      </c>
      <c r="O10" s="7">
        <v>18</v>
      </c>
      <c r="P10" s="7">
        <v>4.7</v>
      </c>
      <c r="Q10" s="7">
        <v>2500</v>
      </c>
      <c r="S10" s="7" t="s">
        <v>10</v>
      </c>
      <c r="T10" s="7">
        <v>0</v>
      </c>
      <c r="U10" s="7">
        <v>2.2000000000000002</v>
      </c>
      <c r="V10" s="7">
        <v>0</v>
      </c>
      <c r="W10" s="7">
        <v>4.7</v>
      </c>
      <c r="X10" s="7">
        <v>0</v>
      </c>
      <c r="Z10" s="7" t="s">
        <v>71</v>
      </c>
      <c r="AA10" s="7">
        <v>160</v>
      </c>
      <c r="AB10" s="7">
        <v>3</v>
      </c>
      <c r="AC10" s="7">
        <v>2.7</v>
      </c>
    </row>
    <row r="11" spans="1:29" x14ac:dyDescent="0.25">
      <c r="A11" s="6" t="s">
        <v>6</v>
      </c>
      <c r="C11" s="7" t="s">
        <v>72</v>
      </c>
      <c r="D11" s="7">
        <v>1100</v>
      </c>
      <c r="E11" s="7">
        <v>3.35</v>
      </c>
      <c r="G11" s="7" t="s">
        <v>69</v>
      </c>
      <c r="H11" s="7">
        <v>1170</v>
      </c>
      <c r="I11" s="7">
        <v>2.95</v>
      </c>
      <c r="J11" s="7">
        <f>IF(Table73844[[#This Row],[ระยะทาง]]&gt;999,1000,IF(Table73844[[#This Row],[ระยะทาง]]&gt;800,800,IF(Table73844[[#This Row],[ระยะทาง]]&gt;500,500,0)))</f>
        <v>1000</v>
      </c>
      <c r="L11" s="7" t="s">
        <v>73</v>
      </c>
      <c r="M11" s="7">
        <v>740</v>
      </c>
      <c r="N11" s="7">
        <v>2.6</v>
      </c>
      <c r="O11" s="7">
        <v>15</v>
      </c>
      <c r="P11" s="7">
        <v>4.7</v>
      </c>
      <c r="Q11" s="7">
        <v>2500</v>
      </c>
      <c r="S11" s="7" t="s">
        <v>62</v>
      </c>
      <c r="T11" s="7">
        <v>280</v>
      </c>
      <c r="U11" s="7">
        <v>2.2000000000000002</v>
      </c>
      <c r="V11" s="7">
        <v>7</v>
      </c>
      <c r="W11" s="7">
        <v>4.7</v>
      </c>
      <c r="X11" s="7">
        <v>1500</v>
      </c>
      <c r="Z11" s="7" t="s">
        <v>74</v>
      </c>
      <c r="AA11" s="7">
        <v>250</v>
      </c>
      <c r="AB11" s="7">
        <v>3</v>
      </c>
      <c r="AC11" s="7">
        <v>2.7</v>
      </c>
    </row>
    <row r="12" spans="1:29" x14ac:dyDescent="0.25">
      <c r="A12" s="6" t="s">
        <v>0</v>
      </c>
      <c r="C12" s="7" t="s">
        <v>75</v>
      </c>
      <c r="D12" s="7">
        <v>1200</v>
      </c>
      <c r="E12" s="7">
        <v>3.35</v>
      </c>
      <c r="G12" s="7" t="s">
        <v>72</v>
      </c>
      <c r="H12" s="7">
        <v>1100</v>
      </c>
      <c r="I12" s="7">
        <v>2.95</v>
      </c>
      <c r="J12" s="7">
        <f>IF(Table73844[[#This Row],[ระยะทาง]]&gt;999,1000,IF(Table73844[[#This Row],[ระยะทาง]]&gt;800,800,IF(Table73844[[#This Row],[ระยะทาง]]&gt;500,500,0)))</f>
        <v>1000</v>
      </c>
      <c r="L12" s="7" t="s">
        <v>76</v>
      </c>
      <c r="M12" s="7">
        <v>1100</v>
      </c>
      <c r="N12" s="7">
        <v>2.5499999999999998</v>
      </c>
      <c r="O12" s="7">
        <v>23</v>
      </c>
      <c r="P12" s="7">
        <v>4.7</v>
      </c>
      <c r="Q12" s="7">
        <v>3000</v>
      </c>
      <c r="S12" s="7" t="s">
        <v>77</v>
      </c>
      <c r="T12" s="7">
        <v>150</v>
      </c>
      <c r="U12" s="7">
        <v>2.2000000000000002</v>
      </c>
      <c r="V12" s="7">
        <v>4</v>
      </c>
      <c r="W12" s="7">
        <v>4.7</v>
      </c>
      <c r="X12" s="7">
        <v>1000</v>
      </c>
      <c r="Z12" s="7" t="s">
        <v>78</v>
      </c>
      <c r="AA12" s="7">
        <v>15</v>
      </c>
      <c r="AB12" s="7">
        <v>3</v>
      </c>
      <c r="AC12" s="7">
        <v>2.7</v>
      </c>
    </row>
    <row r="13" spans="1:29" x14ac:dyDescent="0.25">
      <c r="A13" s="6" t="s">
        <v>79</v>
      </c>
      <c r="C13" s="7" t="s">
        <v>80</v>
      </c>
      <c r="D13" s="7">
        <v>460</v>
      </c>
      <c r="E13" s="7">
        <v>3.3</v>
      </c>
      <c r="G13" s="7" t="s">
        <v>75</v>
      </c>
      <c r="H13" s="7">
        <v>1200</v>
      </c>
      <c r="I13" s="7">
        <v>2.95</v>
      </c>
      <c r="J13" s="7">
        <f>IF(Table73844[[#This Row],[ระยะทาง]]&gt;999,1000,IF(Table73844[[#This Row],[ระยะทาง]]&gt;800,800,IF(Table73844[[#This Row],[ระยะทาง]]&gt;500,500,0)))</f>
        <v>1000</v>
      </c>
      <c r="L13" s="7" t="s">
        <v>81</v>
      </c>
      <c r="M13" s="7">
        <v>720</v>
      </c>
      <c r="N13" s="7">
        <v>2.6</v>
      </c>
      <c r="O13" s="7">
        <v>15</v>
      </c>
      <c r="P13" s="7">
        <v>4.7</v>
      </c>
      <c r="Q13" s="7">
        <v>2500</v>
      </c>
      <c r="S13" s="7" t="s">
        <v>67</v>
      </c>
      <c r="T13" s="7">
        <v>250</v>
      </c>
      <c r="U13" s="7">
        <v>2.2000000000000002</v>
      </c>
      <c r="V13" s="7">
        <v>7</v>
      </c>
      <c r="W13" s="7">
        <v>4.7</v>
      </c>
      <c r="X13" s="7">
        <v>1500</v>
      </c>
      <c r="Z13" s="7" t="s">
        <v>82</v>
      </c>
      <c r="AA13" s="7">
        <v>0</v>
      </c>
      <c r="AB13" s="7">
        <v>3</v>
      </c>
      <c r="AC13" s="7">
        <v>2.7</v>
      </c>
    </row>
    <row r="14" spans="1:29" x14ac:dyDescent="0.25">
      <c r="A14" s="6" t="s">
        <v>83</v>
      </c>
      <c r="C14" s="7" t="s">
        <v>84</v>
      </c>
      <c r="D14" s="7">
        <v>1150</v>
      </c>
      <c r="E14" s="7">
        <v>3.35</v>
      </c>
      <c r="G14" s="7" t="s">
        <v>80</v>
      </c>
      <c r="H14" s="7">
        <v>460</v>
      </c>
      <c r="I14" s="7">
        <v>2.9</v>
      </c>
      <c r="J14" s="7">
        <f>IF(Table73844[[#This Row],[ระยะทาง]]&gt;999,1000,IF(Table73844[[#This Row],[ระยะทาง]]&gt;800,800,IF(Table73844[[#This Row],[ระยะทาง]]&gt;500,500,0)))</f>
        <v>0</v>
      </c>
      <c r="L14" s="7" t="s">
        <v>85</v>
      </c>
      <c r="M14" s="7">
        <v>1180</v>
      </c>
      <c r="N14" s="7">
        <v>2.6</v>
      </c>
      <c r="O14" s="7">
        <v>26</v>
      </c>
      <c r="P14" s="7">
        <v>4.7</v>
      </c>
      <c r="Q14" s="7">
        <v>3500</v>
      </c>
      <c r="S14" s="7" t="s">
        <v>86</v>
      </c>
      <c r="T14" s="7">
        <v>15</v>
      </c>
      <c r="U14" s="7">
        <v>2.2000000000000002</v>
      </c>
      <c r="V14" s="7">
        <v>2</v>
      </c>
      <c r="W14" s="7">
        <v>4.7</v>
      </c>
      <c r="X14" s="7">
        <v>500</v>
      </c>
      <c r="Z14" s="8" t="s">
        <v>87</v>
      </c>
      <c r="AA14" s="7">
        <v>230</v>
      </c>
      <c r="AB14" s="7">
        <v>2.9</v>
      </c>
      <c r="AC14" s="7">
        <v>2.6</v>
      </c>
    </row>
    <row r="15" spans="1:29" x14ac:dyDescent="0.25">
      <c r="A15" s="6" t="s">
        <v>88</v>
      </c>
      <c r="C15" s="7" t="s">
        <v>89</v>
      </c>
      <c r="D15" s="7">
        <v>870</v>
      </c>
      <c r="E15" s="7">
        <v>3.35</v>
      </c>
      <c r="G15" s="7" t="s">
        <v>84</v>
      </c>
      <c r="H15" s="7">
        <v>1150</v>
      </c>
      <c r="I15" s="7">
        <v>2.95</v>
      </c>
      <c r="J15" s="7">
        <f>IF(Table73844[[#This Row],[ระยะทาง]]&gt;999,1000,IF(Table73844[[#This Row],[ระยะทาง]]&gt;800,800,IF(Table73844[[#This Row],[ระยะทาง]]&gt;500,500,0)))</f>
        <v>1000</v>
      </c>
      <c r="L15" s="7" t="s">
        <v>90</v>
      </c>
      <c r="M15" s="7">
        <v>1200</v>
      </c>
      <c r="N15" s="7">
        <v>2.5499999999999998</v>
      </c>
      <c r="O15" s="7">
        <v>25</v>
      </c>
      <c r="P15" s="7">
        <v>4.7</v>
      </c>
      <c r="Q15" s="7">
        <v>4500</v>
      </c>
      <c r="S15" s="7" t="s">
        <v>74</v>
      </c>
      <c r="T15" s="7">
        <v>250</v>
      </c>
      <c r="U15" s="7">
        <v>2.2000000000000002</v>
      </c>
      <c r="V15" s="7">
        <v>7</v>
      </c>
      <c r="W15" s="7">
        <v>4.7</v>
      </c>
      <c r="X15" s="7">
        <v>1500</v>
      </c>
    </row>
    <row r="16" spans="1:29" x14ac:dyDescent="0.25">
      <c r="A16" s="6" t="s">
        <v>91</v>
      </c>
      <c r="C16" s="7" t="s">
        <v>92</v>
      </c>
      <c r="D16" s="7">
        <v>1930</v>
      </c>
      <c r="E16" s="7">
        <v>3.35</v>
      </c>
      <c r="G16" s="7" t="s">
        <v>89</v>
      </c>
      <c r="H16" s="7">
        <v>870</v>
      </c>
      <c r="I16" s="7">
        <v>2.95</v>
      </c>
      <c r="J16" s="7">
        <f>IF(Table73844[[#This Row],[ระยะทาง]]&gt;999,1000,IF(Table73844[[#This Row],[ระยะทาง]]&gt;800,800,IF(Table73844[[#This Row],[ระยะทาง]]&gt;500,500,0)))</f>
        <v>800</v>
      </c>
      <c r="L16" s="7" t="s">
        <v>93</v>
      </c>
      <c r="M16" s="7">
        <v>720</v>
      </c>
      <c r="N16" s="7">
        <v>2.6</v>
      </c>
      <c r="O16" s="7">
        <v>15</v>
      </c>
      <c r="P16" s="7">
        <v>4.7</v>
      </c>
      <c r="Q16" s="7">
        <v>2500</v>
      </c>
      <c r="S16" s="7" t="s">
        <v>82</v>
      </c>
      <c r="T16" s="7">
        <v>0</v>
      </c>
      <c r="U16" s="7">
        <v>2.2000000000000002</v>
      </c>
      <c r="W16" s="7">
        <v>4.7</v>
      </c>
      <c r="X16" s="7">
        <v>500</v>
      </c>
    </row>
    <row r="17" spans="1:24" x14ac:dyDescent="0.25">
      <c r="A17" s="6" t="s">
        <v>94</v>
      </c>
      <c r="C17" s="7" t="s">
        <v>95</v>
      </c>
      <c r="D17" s="7">
        <v>1150</v>
      </c>
      <c r="E17" s="7">
        <v>3.35</v>
      </c>
      <c r="G17" s="7" t="s">
        <v>92</v>
      </c>
      <c r="H17" s="7">
        <v>1930</v>
      </c>
      <c r="I17" s="7">
        <v>2.95</v>
      </c>
      <c r="J17" s="7">
        <f>IF(Table73844[[#This Row],[ระยะทาง]]&gt;999,1000,IF(Table73844[[#This Row],[ระยะทาง]]&gt;800,800,IF(Table73844[[#This Row],[ระยะทาง]]&gt;500,500,0)))</f>
        <v>1000</v>
      </c>
      <c r="L17" s="7" t="s">
        <v>96</v>
      </c>
      <c r="M17" s="7">
        <v>1150</v>
      </c>
      <c r="N17" s="7">
        <v>2.5499999999999998</v>
      </c>
      <c r="O17" s="7">
        <v>24</v>
      </c>
      <c r="P17" s="7">
        <v>4.7</v>
      </c>
      <c r="Q17" s="7">
        <v>3000</v>
      </c>
      <c r="S17" s="7" t="s">
        <v>97</v>
      </c>
      <c r="T17" s="7">
        <v>30</v>
      </c>
      <c r="U17" s="7">
        <v>3.4</v>
      </c>
      <c r="W17" s="7">
        <v>4.7</v>
      </c>
      <c r="X17" s="7">
        <v>200</v>
      </c>
    </row>
    <row r="18" spans="1:24" x14ac:dyDescent="0.25">
      <c r="A18" s="6" t="s">
        <v>94</v>
      </c>
      <c r="C18" s="7" t="s">
        <v>98</v>
      </c>
      <c r="D18" s="7">
        <v>1170</v>
      </c>
      <c r="E18" s="7">
        <v>3.35</v>
      </c>
      <c r="G18" s="7" t="s">
        <v>95</v>
      </c>
      <c r="H18" s="7">
        <v>1150</v>
      </c>
      <c r="I18" s="7">
        <v>2.95</v>
      </c>
      <c r="J18" s="7">
        <f>IF(Table73844[[#This Row],[ระยะทาง]]&gt;999,1000,IF(Table73844[[#This Row],[ระยะทาง]]&gt;800,800,IF(Table73844[[#This Row],[ระยะทาง]]&gt;500,500,0)))</f>
        <v>1000</v>
      </c>
      <c r="L18" s="7" t="s">
        <v>99</v>
      </c>
      <c r="M18" s="7">
        <v>790</v>
      </c>
      <c r="N18" s="7">
        <v>2.6</v>
      </c>
      <c r="O18" s="7">
        <v>17</v>
      </c>
      <c r="P18" s="7">
        <v>4.7</v>
      </c>
      <c r="Q18" s="7">
        <v>2500</v>
      </c>
      <c r="S18" s="8" t="s">
        <v>100</v>
      </c>
      <c r="T18" s="7">
        <v>230</v>
      </c>
      <c r="U18" s="7">
        <v>2.1</v>
      </c>
      <c r="X18" s="7">
        <v>2000</v>
      </c>
    </row>
    <row r="19" spans="1:24" x14ac:dyDescent="0.25">
      <c r="A19" s="6" t="s">
        <v>101</v>
      </c>
      <c r="C19" s="8" t="s">
        <v>102</v>
      </c>
      <c r="D19" s="7">
        <v>1680</v>
      </c>
      <c r="E19" s="7">
        <v>3.4</v>
      </c>
      <c r="G19" s="7" t="s">
        <v>98</v>
      </c>
      <c r="H19" s="7">
        <v>1170</v>
      </c>
      <c r="I19" s="7">
        <v>2.95</v>
      </c>
      <c r="J19" s="7">
        <f>IF(Table73844[[#This Row],[ระยะทาง]]&gt;999,1000,IF(Table73844[[#This Row],[ระยะทาง]]&gt;800,800,IF(Table73844[[#This Row],[ระยะทาง]]&gt;500,500,0)))</f>
        <v>1000</v>
      </c>
      <c r="L19" s="7" t="s">
        <v>103</v>
      </c>
      <c r="M19" s="7">
        <v>670</v>
      </c>
      <c r="N19" s="7">
        <v>2.6</v>
      </c>
      <c r="O19" s="7">
        <v>14</v>
      </c>
      <c r="P19" s="7">
        <v>4.7</v>
      </c>
      <c r="Q19" s="7">
        <v>2500</v>
      </c>
    </row>
    <row r="20" spans="1:24" x14ac:dyDescent="0.25">
      <c r="A20" s="6" t="s">
        <v>104</v>
      </c>
      <c r="C20" s="7" t="s">
        <v>105</v>
      </c>
      <c r="D20" s="7">
        <v>1100</v>
      </c>
      <c r="E20" s="7">
        <v>3.35</v>
      </c>
      <c r="G20" s="8" t="s">
        <v>102</v>
      </c>
      <c r="H20" s="7">
        <v>1680</v>
      </c>
      <c r="I20" s="7">
        <v>3</v>
      </c>
      <c r="J20" s="7">
        <f>IF(Table73844[[#This Row],[ระยะทาง]]&gt;999,1000,IF(Table73844[[#This Row],[ระยะทาง]]&gt;800,800,IF(Table73844[[#This Row],[ระยะทาง]]&gt;500,500,0)))</f>
        <v>1000</v>
      </c>
      <c r="L20" s="8" t="s">
        <v>106</v>
      </c>
      <c r="M20" s="7">
        <v>800</v>
      </c>
      <c r="N20" s="7">
        <v>2.6</v>
      </c>
      <c r="O20" s="7">
        <v>17</v>
      </c>
      <c r="P20" s="7">
        <v>4.7</v>
      </c>
      <c r="Q20" s="7">
        <v>2500</v>
      </c>
    </row>
    <row r="21" spans="1:24" x14ac:dyDescent="0.25">
      <c r="A21" s="6" t="s">
        <v>107</v>
      </c>
      <c r="C21" s="7" t="s">
        <v>108</v>
      </c>
      <c r="D21" s="7">
        <v>1450</v>
      </c>
      <c r="E21" s="7">
        <v>3.35</v>
      </c>
      <c r="G21" s="7" t="s">
        <v>105</v>
      </c>
      <c r="H21" s="7">
        <v>1100</v>
      </c>
      <c r="I21" s="7">
        <v>2.95</v>
      </c>
      <c r="J21" s="7">
        <f>IF(Table73844[[#This Row],[ระยะทาง]]&gt;999,1000,IF(Table73844[[#This Row],[ระยะทาง]]&gt;800,800,IF(Table73844[[#This Row],[ระยะทาง]]&gt;500,500,0)))</f>
        <v>1000</v>
      </c>
      <c r="L21" s="7" t="s">
        <v>109</v>
      </c>
      <c r="M21" s="7">
        <v>460</v>
      </c>
      <c r="N21" s="7">
        <v>2.5</v>
      </c>
      <c r="O21" s="7">
        <v>10</v>
      </c>
      <c r="P21" s="7">
        <v>4.7</v>
      </c>
      <c r="Q21" s="7">
        <v>1500</v>
      </c>
    </row>
    <row r="22" spans="1:24" x14ac:dyDescent="0.25">
      <c r="A22" s="6" t="s">
        <v>110</v>
      </c>
      <c r="C22" s="7" t="s">
        <v>111</v>
      </c>
      <c r="D22" s="7">
        <v>1010</v>
      </c>
      <c r="E22" s="7">
        <v>3.35</v>
      </c>
      <c r="G22" s="7" t="s">
        <v>108</v>
      </c>
      <c r="H22" s="7">
        <v>1450</v>
      </c>
      <c r="I22" s="7">
        <v>2.95</v>
      </c>
      <c r="J22" s="7">
        <f>IF(Table73844[[#This Row],[ระยะทาง]]&gt;999,1000,IF(Table73844[[#This Row],[ระยะทาง]]&gt;800,800,IF(Table73844[[#This Row],[ระยะทาง]]&gt;500,500,0)))</f>
        <v>1000</v>
      </c>
      <c r="L22" s="7" t="s">
        <v>112</v>
      </c>
      <c r="M22" s="7">
        <v>940</v>
      </c>
      <c r="N22" s="7">
        <v>2.5</v>
      </c>
      <c r="P22" s="7">
        <v>4.7</v>
      </c>
      <c r="Q22" s="7">
        <v>3000</v>
      </c>
    </row>
    <row r="23" spans="1:24" x14ac:dyDescent="0.25">
      <c r="A23" s="6" t="s">
        <v>113</v>
      </c>
      <c r="C23" s="7" t="s">
        <v>114</v>
      </c>
      <c r="D23" s="7">
        <v>270</v>
      </c>
      <c r="E23" s="7">
        <v>3.4</v>
      </c>
      <c r="G23" s="7" t="s">
        <v>111</v>
      </c>
      <c r="H23" s="7">
        <v>1010</v>
      </c>
      <c r="I23" s="7">
        <v>2.95</v>
      </c>
      <c r="J23" s="7">
        <f>IF(Table73844[[#This Row],[ระยะทาง]]&gt;999,1000,IF(Table73844[[#This Row],[ระยะทาง]]&gt;800,800,IF(Table73844[[#This Row],[ระยะทาง]]&gt;500,500,0)))</f>
        <v>1000</v>
      </c>
      <c r="L23" s="7" t="s">
        <v>115</v>
      </c>
      <c r="M23" s="7">
        <v>1230</v>
      </c>
      <c r="N23" s="7">
        <v>2.6</v>
      </c>
      <c r="O23" s="7">
        <v>29</v>
      </c>
      <c r="P23" s="7">
        <v>4.7</v>
      </c>
      <c r="Q23" s="7">
        <v>3000</v>
      </c>
    </row>
    <row r="24" spans="1:24" x14ac:dyDescent="0.25">
      <c r="A24" s="6" t="s">
        <v>116</v>
      </c>
      <c r="C24" s="7" t="s">
        <v>117</v>
      </c>
      <c r="D24" s="7">
        <v>340</v>
      </c>
      <c r="E24" s="7">
        <v>3.4</v>
      </c>
      <c r="G24" s="7" t="s">
        <v>114</v>
      </c>
      <c r="H24" s="7">
        <v>270</v>
      </c>
      <c r="I24" s="7">
        <v>3</v>
      </c>
      <c r="J24" s="7">
        <f>IF(Table73844[[#This Row],[ระยะทาง]]&gt;999,1000,IF(Table73844[[#This Row],[ระยะทาง]]&gt;800,800,IF(Table73844[[#This Row],[ระยะทาง]]&gt;500,500,0)))</f>
        <v>0</v>
      </c>
      <c r="L24" s="7" t="s">
        <v>118</v>
      </c>
      <c r="M24" s="7">
        <v>1110</v>
      </c>
      <c r="N24" s="7">
        <v>2.6</v>
      </c>
      <c r="O24" s="7">
        <v>26</v>
      </c>
      <c r="P24" s="7">
        <v>4.7</v>
      </c>
      <c r="Q24" s="7">
        <v>3000</v>
      </c>
    </row>
    <row r="25" spans="1:24" x14ac:dyDescent="0.25">
      <c r="A25" s="6" t="s">
        <v>119</v>
      </c>
      <c r="C25" s="7" t="s">
        <v>120</v>
      </c>
      <c r="D25" s="7">
        <v>270</v>
      </c>
      <c r="E25" s="7">
        <v>3.4</v>
      </c>
      <c r="G25" s="7" t="s">
        <v>117</v>
      </c>
      <c r="H25" s="7">
        <v>340</v>
      </c>
      <c r="I25" s="7">
        <v>3</v>
      </c>
      <c r="J25" s="7">
        <f>IF(Table73844[[#This Row],[ระยะทาง]]&gt;999,1000,IF(Table73844[[#This Row],[ระยะทาง]]&gt;800,800,IF(Table73844[[#This Row],[ระยะทาง]]&gt;500,500,0)))</f>
        <v>0</v>
      </c>
      <c r="L25" s="8" t="s">
        <v>121</v>
      </c>
      <c r="M25" s="7">
        <v>810</v>
      </c>
      <c r="N25" s="7">
        <v>2.5499999999999998</v>
      </c>
      <c r="O25" s="7">
        <v>16</v>
      </c>
      <c r="P25" s="7">
        <v>4.7</v>
      </c>
      <c r="Q25" s="7">
        <v>2500</v>
      </c>
    </row>
    <row r="26" spans="1:24" x14ac:dyDescent="0.25">
      <c r="A26" s="6" t="s">
        <v>122</v>
      </c>
      <c r="C26" s="7" t="s">
        <v>123</v>
      </c>
      <c r="D26" s="7">
        <v>360</v>
      </c>
      <c r="E26" s="7">
        <v>3.4</v>
      </c>
      <c r="G26" s="7" t="s">
        <v>120</v>
      </c>
      <c r="H26" s="7">
        <v>270</v>
      </c>
      <c r="I26" s="7">
        <v>3</v>
      </c>
      <c r="J26" s="7">
        <f>IF(Table73844[[#This Row],[ระยะทาง]]&gt;999,1000,IF(Table73844[[#This Row],[ระยะทาง]]&gt;800,800,IF(Table73844[[#This Row],[ระยะทาง]]&gt;500,500,0)))</f>
        <v>0</v>
      </c>
      <c r="L26" s="7" t="s">
        <v>124</v>
      </c>
      <c r="M26" s="7">
        <v>1150</v>
      </c>
      <c r="N26" s="7">
        <v>2.5499999999999998</v>
      </c>
      <c r="O26" s="7">
        <v>24</v>
      </c>
      <c r="P26" s="7">
        <v>4.7</v>
      </c>
      <c r="Q26" s="7">
        <v>3000</v>
      </c>
    </row>
    <row r="27" spans="1:24" x14ac:dyDescent="0.25">
      <c r="A27" s="6" t="s">
        <v>125</v>
      </c>
      <c r="C27" s="7" t="s">
        <v>126</v>
      </c>
      <c r="D27" s="7">
        <v>320</v>
      </c>
      <c r="E27" s="7">
        <v>3.4</v>
      </c>
      <c r="G27" s="7" t="s">
        <v>123</v>
      </c>
      <c r="H27" s="7">
        <v>360</v>
      </c>
      <c r="I27" s="7">
        <v>3</v>
      </c>
      <c r="J27" s="7">
        <f>IF(Table73844[[#This Row],[ระยะทาง]]&gt;999,1000,IF(Table73844[[#This Row],[ระยะทาง]]&gt;800,800,IF(Table73844[[#This Row],[ระยะทาง]]&gt;500,500,0)))</f>
        <v>0</v>
      </c>
      <c r="L27" s="7" t="s">
        <v>127</v>
      </c>
      <c r="M27" s="7">
        <v>790</v>
      </c>
      <c r="N27" s="7">
        <v>2.6</v>
      </c>
      <c r="O27" s="7">
        <v>17</v>
      </c>
      <c r="P27" s="7">
        <v>4.7</v>
      </c>
      <c r="Q27" s="7">
        <v>2500</v>
      </c>
    </row>
    <row r="28" spans="1:24" x14ac:dyDescent="0.25">
      <c r="A28" s="6" t="s">
        <v>128</v>
      </c>
      <c r="C28" s="7" t="s">
        <v>129</v>
      </c>
      <c r="D28" s="7">
        <v>830</v>
      </c>
      <c r="E28" s="7">
        <v>3.4</v>
      </c>
      <c r="G28" s="7" t="s">
        <v>126</v>
      </c>
      <c r="H28" s="7">
        <v>320</v>
      </c>
      <c r="I28" s="7">
        <v>3</v>
      </c>
      <c r="J28" s="7">
        <f>IF(Table73844[[#This Row],[ระยะทาง]]&gt;999,1000,IF(Table73844[[#This Row],[ระยะทาง]]&gt;800,800,IF(Table73844[[#This Row],[ระยะทาง]]&gt;500,500,0)))</f>
        <v>0</v>
      </c>
      <c r="L28" s="7" t="s">
        <v>130</v>
      </c>
      <c r="M28" s="7">
        <v>670</v>
      </c>
      <c r="N28" s="7">
        <v>2.6</v>
      </c>
      <c r="O28" s="7">
        <v>14</v>
      </c>
      <c r="P28" s="7">
        <v>4.7</v>
      </c>
      <c r="Q28" s="7">
        <v>2500</v>
      </c>
    </row>
    <row r="29" spans="1:24" x14ac:dyDescent="0.25">
      <c r="A29" s="6" t="s">
        <v>131</v>
      </c>
      <c r="C29" s="7" t="s">
        <v>132</v>
      </c>
      <c r="D29" s="7">
        <v>880</v>
      </c>
      <c r="E29" s="7">
        <v>3.4</v>
      </c>
      <c r="G29" s="7" t="s">
        <v>129</v>
      </c>
      <c r="H29" s="7">
        <v>830</v>
      </c>
      <c r="I29" s="7">
        <v>3</v>
      </c>
      <c r="J29" s="7">
        <f>IF(Table73844[[#This Row],[ระยะทาง]]&gt;999,1000,IF(Table73844[[#This Row],[ระยะทาง]]&gt;800,800,IF(Table73844[[#This Row],[ระยะทาง]]&gt;500,500,0)))</f>
        <v>800</v>
      </c>
      <c r="L29" s="8" t="s">
        <v>133</v>
      </c>
      <c r="M29" s="7">
        <v>185</v>
      </c>
      <c r="N29" s="7">
        <v>2.6</v>
      </c>
      <c r="O29" s="7">
        <v>4</v>
      </c>
      <c r="P29" s="7">
        <v>4.7</v>
      </c>
      <c r="Q29" s="7">
        <v>1500</v>
      </c>
    </row>
    <row r="30" spans="1:24" x14ac:dyDescent="0.25">
      <c r="A30" s="6" t="s">
        <v>134</v>
      </c>
      <c r="C30" s="7" t="s">
        <v>135</v>
      </c>
      <c r="D30" s="7">
        <v>520</v>
      </c>
      <c r="E30" s="7">
        <v>3.4</v>
      </c>
      <c r="G30" s="7" t="s">
        <v>132</v>
      </c>
      <c r="H30" s="7">
        <v>880</v>
      </c>
      <c r="I30" s="7">
        <v>3</v>
      </c>
      <c r="J30" s="7">
        <f>IF(Table73844[[#This Row],[ระยะทาง]]&gt;999,1000,IF(Table73844[[#This Row],[ระยะทาง]]&gt;800,800,IF(Table73844[[#This Row],[ระยะทาง]]&gt;500,500,0)))</f>
        <v>800</v>
      </c>
      <c r="L30" s="7" t="s">
        <v>136</v>
      </c>
      <c r="M30" s="7">
        <v>750</v>
      </c>
      <c r="N30" s="7">
        <v>2.6</v>
      </c>
      <c r="O30" s="7">
        <v>15</v>
      </c>
      <c r="P30" s="7">
        <v>4.7</v>
      </c>
      <c r="Q30" s="7">
        <v>2500</v>
      </c>
    </row>
    <row r="31" spans="1:24" x14ac:dyDescent="0.25">
      <c r="A31" s="6" t="s">
        <v>137</v>
      </c>
      <c r="C31" s="8" t="s">
        <v>138</v>
      </c>
      <c r="D31" s="7">
        <v>870</v>
      </c>
      <c r="E31" s="7">
        <v>3.4</v>
      </c>
      <c r="G31" s="7" t="s">
        <v>135</v>
      </c>
      <c r="H31" s="7">
        <v>520</v>
      </c>
      <c r="I31" s="7">
        <v>3</v>
      </c>
      <c r="J31" s="7">
        <f>IF(Table73844[[#This Row],[ระยะทาง]]&gt;999,1000,IF(Table73844[[#This Row],[ระยะทาง]]&gt;800,800,IF(Table73844[[#This Row],[ระยะทาง]]&gt;500,500,0)))</f>
        <v>500</v>
      </c>
      <c r="L31" s="7" t="s">
        <v>139</v>
      </c>
      <c r="M31" s="7">
        <v>630</v>
      </c>
      <c r="N31" s="7">
        <v>2.6</v>
      </c>
      <c r="O31" s="7">
        <v>12</v>
      </c>
      <c r="P31" s="7">
        <v>4.7</v>
      </c>
      <c r="Q31" s="7">
        <v>2500</v>
      </c>
    </row>
    <row r="32" spans="1:24" x14ac:dyDescent="0.25">
      <c r="A32" s="6" t="s">
        <v>140</v>
      </c>
      <c r="C32" s="7" t="s">
        <v>141</v>
      </c>
      <c r="D32" s="7">
        <v>340</v>
      </c>
      <c r="E32" s="7">
        <v>3.4</v>
      </c>
      <c r="G32" s="8" t="s">
        <v>138</v>
      </c>
      <c r="H32" s="7">
        <v>870</v>
      </c>
      <c r="I32" s="7">
        <v>3</v>
      </c>
      <c r="J32" s="7">
        <f>IF(Table73844[[#This Row],[ระยะทาง]]&gt;999,1000,IF(Table73844[[#This Row],[ระยะทาง]]&gt;800,800,IF(Table73844[[#This Row],[ระยะทาง]]&gt;500,500,0)))</f>
        <v>800</v>
      </c>
      <c r="L32" s="7" t="s">
        <v>142</v>
      </c>
      <c r="M32" s="7">
        <v>1450</v>
      </c>
      <c r="N32" s="7">
        <v>2.6</v>
      </c>
      <c r="O32" s="7">
        <v>32</v>
      </c>
      <c r="P32" s="7">
        <v>4.7</v>
      </c>
      <c r="Q32" s="7">
        <v>4000</v>
      </c>
    </row>
    <row r="33" spans="1:17" x14ac:dyDescent="0.25">
      <c r="A33" s="6" t="s">
        <v>143</v>
      </c>
      <c r="C33" s="7" t="s">
        <v>144</v>
      </c>
      <c r="D33" s="7">
        <v>650</v>
      </c>
      <c r="E33" s="7">
        <v>3.4</v>
      </c>
      <c r="G33" s="7" t="s">
        <v>141</v>
      </c>
      <c r="H33" s="7">
        <v>340</v>
      </c>
      <c r="I33" s="7">
        <v>3</v>
      </c>
      <c r="J33" s="7">
        <f>IF(Table73844[[#This Row],[ระยะทาง]]&gt;999,1000,IF(Table73844[[#This Row],[ระยะทาง]]&gt;800,800,IF(Table73844[[#This Row],[ระยะทาง]]&gt;500,500,0)))</f>
        <v>0</v>
      </c>
      <c r="L33" s="7" t="s">
        <v>89</v>
      </c>
      <c r="M33" s="7">
        <v>830</v>
      </c>
      <c r="N33" s="7">
        <v>2.5499999999999998</v>
      </c>
      <c r="P33" s="7">
        <v>4.7</v>
      </c>
      <c r="Q33" s="7">
        <v>1000</v>
      </c>
    </row>
    <row r="34" spans="1:17" x14ac:dyDescent="0.25">
      <c r="A34" s="6" t="s">
        <v>145</v>
      </c>
      <c r="C34" s="7" t="s">
        <v>146</v>
      </c>
      <c r="D34" s="7">
        <v>880</v>
      </c>
      <c r="E34" s="7">
        <v>3.4</v>
      </c>
      <c r="G34" s="7" t="s">
        <v>144</v>
      </c>
      <c r="H34" s="7">
        <v>650</v>
      </c>
      <c r="I34" s="7">
        <v>3</v>
      </c>
      <c r="J34" s="7">
        <v>2500</v>
      </c>
      <c r="L34" s="7" t="s">
        <v>147</v>
      </c>
      <c r="M34" s="7">
        <v>840</v>
      </c>
      <c r="N34" s="7">
        <v>2.5499999999999998</v>
      </c>
      <c r="P34" s="7">
        <v>4.7</v>
      </c>
      <c r="Q34" s="7">
        <v>1000</v>
      </c>
    </row>
    <row r="35" spans="1:17" x14ac:dyDescent="0.25">
      <c r="A35" s="6" t="s">
        <v>148</v>
      </c>
      <c r="C35" s="7" t="s">
        <v>149</v>
      </c>
      <c r="D35" s="7">
        <v>890</v>
      </c>
      <c r="E35" s="7">
        <v>3.4</v>
      </c>
      <c r="G35" s="7" t="s">
        <v>146</v>
      </c>
      <c r="H35" s="7">
        <v>880</v>
      </c>
      <c r="I35" s="7">
        <v>3</v>
      </c>
      <c r="J35" s="7">
        <f>IF(Table73844[[#This Row],[ระยะทาง]]&gt;999,1000,IF(Table73844[[#This Row],[ระยะทาง]]&gt;800,800,IF(Table73844[[#This Row],[ระยะทาง]]&gt;500,500,0)))</f>
        <v>800</v>
      </c>
      <c r="L35" s="7" t="s">
        <v>150</v>
      </c>
      <c r="M35" s="7">
        <v>980</v>
      </c>
      <c r="N35" s="7">
        <v>2.5</v>
      </c>
      <c r="P35" s="7">
        <v>4.7</v>
      </c>
      <c r="Q35" s="7">
        <v>2500</v>
      </c>
    </row>
    <row r="36" spans="1:17" x14ac:dyDescent="0.25">
      <c r="A36" s="6" t="s">
        <v>151</v>
      </c>
      <c r="C36" s="7" t="s">
        <v>152</v>
      </c>
      <c r="D36" s="7">
        <v>90</v>
      </c>
      <c r="E36" s="7">
        <v>3.4</v>
      </c>
      <c r="G36" s="7" t="s">
        <v>149</v>
      </c>
      <c r="H36" s="7">
        <v>890</v>
      </c>
      <c r="I36" s="7">
        <v>3</v>
      </c>
      <c r="J36" s="7">
        <f>IF(Table73844[[#This Row],[ระยะทาง]]&gt;999,1000,IF(Table73844[[#This Row],[ระยะทาง]]&gt;800,800,IF(Table73844[[#This Row],[ระยะทาง]]&gt;500,500,0)))</f>
        <v>800</v>
      </c>
      <c r="L36" s="7" t="s">
        <v>153</v>
      </c>
      <c r="M36" s="7">
        <v>1030</v>
      </c>
      <c r="N36" s="7">
        <v>2.5</v>
      </c>
      <c r="Q36" s="7">
        <v>3500</v>
      </c>
    </row>
    <row r="37" spans="1:17" x14ac:dyDescent="0.25">
      <c r="A37" s="6" t="s">
        <v>154</v>
      </c>
      <c r="C37" s="7" t="s">
        <v>155</v>
      </c>
      <c r="D37" s="7">
        <v>80</v>
      </c>
      <c r="E37" s="7">
        <v>3.4</v>
      </c>
      <c r="G37" s="7" t="s">
        <v>152</v>
      </c>
      <c r="H37" s="7">
        <v>90</v>
      </c>
      <c r="I37" s="7">
        <v>3</v>
      </c>
      <c r="J37" s="7">
        <f>IF(Table73844[[#This Row],[ระยะทาง]]&gt;999,1000,IF(Table73844[[#This Row],[ระยะทาง]]&gt;800,800,IF(Table73844[[#This Row],[ระยะทาง]]&gt;500,500,0)))</f>
        <v>0</v>
      </c>
      <c r="L37" s="7" t="s">
        <v>156</v>
      </c>
      <c r="M37" s="7">
        <v>1090</v>
      </c>
      <c r="N37" s="7">
        <v>2.5</v>
      </c>
      <c r="Q37" s="7">
        <v>3000</v>
      </c>
    </row>
    <row r="38" spans="1:17" x14ac:dyDescent="0.25">
      <c r="A38" s="6" t="s">
        <v>157</v>
      </c>
      <c r="C38" s="7" t="s">
        <v>158</v>
      </c>
      <c r="D38" s="7">
        <v>620</v>
      </c>
      <c r="E38" s="7">
        <v>3.4</v>
      </c>
      <c r="G38" s="7" t="s">
        <v>155</v>
      </c>
      <c r="H38" s="7">
        <v>80</v>
      </c>
      <c r="I38" s="7">
        <v>3</v>
      </c>
      <c r="J38" s="7">
        <f>IF(Table73844[[#This Row],[ระยะทาง]]&gt;999,1000,IF(Table73844[[#This Row],[ระยะทาง]]&gt;800,800,IF(Table73844[[#This Row],[ระยะทาง]]&gt;500,500,0)))</f>
        <v>0</v>
      </c>
      <c r="L38" s="7" t="s">
        <v>159</v>
      </c>
      <c r="M38" s="7">
        <v>910</v>
      </c>
      <c r="N38" s="7">
        <v>2.5</v>
      </c>
      <c r="Q38" s="7">
        <v>3000</v>
      </c>
    </row>
    <row r="39" spans="1:17" x14ac:dyDescent="0.25">
      <c r="A39" s="6" t="s">
        <v>160</v>
      </c>
      <c r="C39" s="7" t="s">
        <v>161</v>
      </c>
      <c r="D39" s="7">
        <v>340</v>
      </c>
      <c r="E39" s="7">
        <v>3.4</v>
      </c>
      <c r="G39" s="7" t="s">
        <v>158</v>
      </c>
      <c r="H39" s="7">
        <v>620</v>
      </c>
      <c r="I39" s="7">
        <v>3</v>
      </c>
      <c r="J39" s="7">
        <f>IF(Table73844[[#This Row],[ระยะทาง]]&gt;999,1000,IF(Table73844[[#This Row],[ระยะทาง]]&gt;800,800,IF(Table73844[[#This Row],[ระยะทาง]]&gt;500,500,0)))</f>
        <v>500</v>
      </c>
      <c r="L39" s="7" t="s">
        <v>162</v>
      </c>
      <c r="M39" s="7">
        <v>1230</v>
      </c>
      <c r="N39" s="7">
        <v>2.6</v>
      </c>
      <c r="O39" s="7">
        <v>29</v>
      </c>
      <c r="P39" s="7">
        <v>4.7</v>
      </c>
      <c r="Q39" s="7">
        <v>3000</v>
      </c>
    </row>
    <row r="40" spans="1:17" x14ac:dyDescent="0.25">
      <c r="A40" s="6" t="s">
        <v>163</v>
      </c>
      <c r="C40" s="8" t="s">
        <v>164</v>
      </c>
      <c r="D40" s="7">
        <v>860</v>
      </c>
      <c r="E40" s="7">
        <v>3.4</v>
      </c>
      <c r="G40" s="7" t="s">
        <v>161</v>
      </c>
      <c r="H40" s="7">
        <v>340</v>
      </c>
      <c r="I40" s="7">
        <v>3</v>
      </c>
      <c r="J40" s="7">
        <f>IF(Table73844[[#This Row],[ระยะทาง]]&gt;999,1000,IF(Table73844[[#This Row],[ระยะทาง]]&gt;800,800,IF(Table73844[[#This Row],[ระยะทาง]]&gt;500,500,0)))</f>
        <v>0</v>
      </c>
      <c r="L40" s="7" t="s">
        <v>165</v>
      </c>
      <c r="M40" s="7">
        <v>1600</v>
      </c>
      <c r="N40" s="7">
        <v>2.6</v>
      </c>
      <c r="O40" s="7">
        <v>36</v>
      </c>
      <c r="P40" s="7">
        <v>4.7</v>
      </c>
      <c r="Q40" s="7">
        <v>4000</v>
      </c>
    </row>
    <row r="41" spans="1:17" x14ac:dyDescent="0.25">
      <c r="A41" s="6" t="s">
        <v>166</v>
      </c>
      <c r="C41" s="8" t="s">
        <v>167</v>
      </c>
      <c r="D41" s="7">
        <v>105</v>
      </c>
      <c r="E41" s="7">
        <v>3.4</v>
      </c>
      <c r="G41" s="7" t="s">
        <v>168</v>
      </c>
      <c r="H41" s="7">
        <v>610</v>
      </c>
      <c r="I41" s="7">
        <v>3</v>
      </c>
      <c r="J41" s="7">
        <f>IF(Table73844[[#This Row],[ระยะทาง]]&gt;999,1000,IF(Table73844[[#This Row],[ระยะทาง]]&gt;800,800,IF(Table73844[[#This Row],[ระยะทาง]]&gt;500,500,0)))</f>
        <v>500</v>
      </c>
      <c r="L41" s="7" t="s">
        <v>169</v>
      </c>
      <c r="M41" s="7">
        <v>1480</v>
      </c>
      <c r="N41" s="7">
        <v>2.6</v>
      </c>
      <c r="O41" s="7">
        <v>33</v>
      </c>
      <c r="P41" s="7">
        <v>4.7</v>
      </c>
      <c r="Q41" s="7">
        <v>4000</v>
      </c>
    </row>
    <row r="42" spans="1:17" x14ac:dyDescent="0.25">
      <c r="A42" s="6" t="s">
        <v>170</v>
      </c>
      <c r="C42" s="7" t="s">
        <v>168</v>
      </c>
      <c r="D42" s="7">
        <v>610</v>
      </c>
      <c r="E42" s="7">
        <v>3.4</v>
      </c>
      <c r="G42" s="7" t="s">
        <v>171</v>
      </c>
      <c r="H42" s="7">
        <v>940</v>
      </c>
      <c r="I42" s="7">
        <v>2.9</v>
      </c>
      <c r="J42" s="7">
        <f>IF(Table73844[[#This Row],[ระยะทาง]]&gt;999,1000,IF(Table73844[[#This Row],[ระยะทาง]]&gt;800,800,IF(Table73844[[#This Row],[ระยะทาง]]&gt;500,500,0)))</f>
        <v>800</v>
      </c>
      <c r="L42" s="7" t="s">
        <v>172</v>
      </c>
      <c r="M42" s="7">
        <v>830</v>
      </c>
      <c r="N42" s="7">
        <v>2.5499999999999998</v>
      </c>
      <c r="O42" s="7">
        <v>18</v>
      </c>
      <c r="P42" s="7">
        <v>4.7</v>
      </c>
      <c r="Q42" s="7">
        <v>3000</v>
      </c>
    </row>
    <row r="43" spans="1:17" x14ac:dyDescent="0.25">
      <c r="A43" s="6" t="s">
        <v>173</v>
      </c>
      <c r="C43" s="7" t="s">
        <v>171</v>
      </c>
      <c r="D43" s="7">
        <v>940</v>
      </c>
      <c r="E43" s="7">
        <v>3.3</v>
      </c>
      <c r="G43" s="7" t="s">
        <v>174</v>
      </c>
      <c r="H43" s="7">
        <v>980</v>
      </c>
      <c r="I43" s="7">
        <v>2.9</v>
      </c>
      <c r="J43" s="7">
        <f>IF(Table73844[[#This Row],[ระยะทาง]]&gt;999,1000,IF(Table73844[[#This Row],[ระยะทาง]]&gt;800,800,IF(Table73844[[#This Row],[ระยะทาง]]&gt;500,500,0)))</f>
        <v>800</v>
      </c>
      <c r="L43" s="7" t="s">
        <v>175</v>
      </c>
      <c r="M43" s="7">
        <v>770</v>
      </c>
      <c r="N43" s="7">
        <v>2.6</v>
      </c>
      <c r="O43" s="7">
        <v>15</v>
      </c>
      <c r="P43" s="7">
        <v>4.7</v>
      </c>
      <c r="Q43" s="7">
        <v>2500</v>
      </c>
    </row>
    <row r="44" spans="1:17" x14ac:dyDescent="0.25">
      <c r="A44" s="6" t="s">
        <v>176</v>
      </c>
      <c r="C44" s="7" t="s">
        <v>174</v>
      </c>
      <c r="D44" s="7">
        <v>980</v>
      </c>
      <c r="E44" s="7">
        <v>3.3</v>
      </c>
      <c r="G44" s="7" t="s">
        <v>177</v>
      </c>
      <c r="H44" s="7">
        <v>910</v>
      </c>
      <c r="I44" s="7">
        <v>2.9</v>
      </c>
      <c r="J44" s="7">
        <f>IF(Table73844[[#This Row],[ระยะทาง]]&gt;999,1000,IF(Table73844[[#This Row],[ระยะทาง]]&gt;800,800,IF(Table73844[[#This Row],[ระยะทาง]]&gt;500,500,0)))</f>
        <v>800</v>
      </c>
      <c r="L44" s="8" t="s">
        <v>178</v>
      </c>
      <c r="M44" s="7">
        <v>1600</v>
      </c>
      <c r="N44" s="7">
        <v>2.6</v>
      </c>
      <c r="O44" s="7">
        <v>36</v>
      </c>
      <c r="P44" s="7">
        <v>4.7</v>
      </c>
      <c r="Q44" s="7">
        <v>4000</v>
      </c>
    </row>
    <row r="45" spans="1:17" x14ac:dyDescent="0.25">
      <c r="A45" s="6" t="s">
        <v>179</v>
      </c>
      <c r="C45" s="7" t="s">
        <v>177</v>
      </c>
      <c r="D45" s="7">
        <v>910</v>
      </c>
      <c r="E45" s="7">
        <v>3.3</v>
      </c>
      <c r="G45" s="7" t="s">
        <v>180</v>
      </c>
      <c r="H45" s="7">
        <v>1000</v>
      </c>
      <c r="I45" s="7">
        <v>2.9</v>
      </c>
      <c r="J45" s="7">
        <f>IF(Table73844[[#This Row],[ระยะทาง]]&gt;999,1000,IF(Table73844[[#This Row],[ระยะทาง]]&gt;800,800,IF(Table73844[[#This Row],[ระยะทาง]]&gt;500,500,0)))</f>
        <v>1000</v>
      </c>
      <c r="L45" s="8" t="s">
        <v>181</v>
      </c>
      <c r="M45" s="7">
        <v>1300</v>
      </c>
      <c r="N45" s="7">
        <v>2.6</v>
      </c>
      <c r="O45" s="7">
        <v>28</v>
      </c>
      <c r="P45" s="7">
        <v>4.7</v>
      </c>
      <c r="Q45" s="7">
        <v>3500</v>
      </c>
    </row>
    <row r="46" spans="1:17" x14ac:dyDescent="0.25">
      <c r="A46" s="6" t="s">
        <v>182</v>
      </c>
      <c r="C46" s="7" t="s">
        <v>180</v>
      </c>
      <c r="D46" s="7">
        <v>1000</v>
      </c>
      <c r="E46" s="7">
        <v>3.3</v>
      </c>
      <c r="G46" s="7" t="s">
        <v>183</v>
      </c>
      <c r="H46" s="7">
        <v>910</v>
      </c>
      <c r="I46" s="7">
        <v>2.9</v>
      </c>
      <c r="J46" s="7">
        <f>IF(Table73844[[#This Row],[ระยะทาง]]&gt;999,1000,IF(Table73844[[#This Row],[ระยะทาง]]&gt;800,800,IF(Table73844[[#This Row],[ระยะทาง]]&gt;500,500,0)))</f>
        <v>800</v>
      </c>
      <c r="L46" s="7" t="s">
        <v>184</v>
      </c>
      <c r="M46" s="7">
        <v>1000</v>
      </c>
      <c r="N46" s="7">
        <v>2.5</v>
      </c>
      <c r="P46" s="7">
        <v>4.7</v>
      </c>
      <c r="Q46" s="7">
        <v>3000</v>
      </c>
    </row>
    <row r="47" spans="1:17" x14ac:dyDescent="0.25">
      <c r="A47" s="6" t="s">
        <v>185</v>
      </c>
      <c r="C47" s="7" t="s">
        <v>183</v>
      </c>
      <c r="D47" s="7">
        <v>910</v>
      </c>
      <c r="E47" s="7">
        <v>3.3</v>
      </c>
      <c r="G47" s="7" t="s">
        <v>186</v>
      </c>
      <c r="H47" s="7">
        <v>920</v>
      </c>
      <c r="I47" s="7">
        <v>2.9</v>
      </c>
      <c r="J47" s="7">
        <f>IF(Table73844[[#This Row],[ระยะทาง]]&gt;999,1000,IF(Table73844[[#This Row],[ระยะทาง]]&gt;800,800,IF(Table73844[[#This Row],[ระยะทาง]]&gt;500,500,0)))</f>
        <v>800</v>
      </c>
      <c r="L47" s="7" t="s">
        <v>187</v>
      </c>
      <c r="M47" s="7">
        <v>860</v>
      </c>
      <c r="N47" s="7">
        <v>2.6</v>
      </c>
      <c r="O47" s="7">
        <v>18</v>
      </c>
      <c r="P47" s="7">
        <v>4.7</v>
      </c>
      <c r="Q47" s="7">
        <v>2500</v>
      </c>
    </row>
    <row r="48" spans="1:17" x14ac:dyDescent="0.25">
      <c r="A48" s="6" t="s">
        <v>188</v>
      </c>
      <c r="C48" s="7" t="s">
        <v>186</v>
      </c>
      <c r="D48" s="7">
        <v>920</v>
      </c>
      <c r="E48" s="7">
        <v>3.3</v>
      </c>
      <c r="G48" s="7" t="s">
        <v>189</v>
      </c>
      <c r="H48" s="7">
        <v>920</v>
      </c>
      <c r="I48" s="7">
        <v>2.9</v>
      </c>
      <c r="J48" s="7">
        <f>IF(Table73844[[#This Row],[ระยะทาง]]&gt;999,1000,IF(Table73844[[#This Row],[ระยะทาง]]&gt;800,800,IF(Table73844[[#This Row],[ระยะทาง]]&gt;500,500,0)))</f>
        <v>800</v>
      </c>
      <c r="L48" s="7" t="s">
        <v>190</v>
      </c>
      <c r="M48" s="7">
        <v>740</v>
      </c>
      <c r="N48" s="7">
        <v>2.6</v>
      </c>
      <c r="O48" s="7">
        <v>15</v>
      </c>
      <c r="P48" s="7">
        <v>4.7</v>
      </c>
      <c r="Q48" s="7">
        <v>2500</v>
      </c>
    </row>
    <row r="49" spans="1:17" x14ac:dyDescent="0.25">
      <c r="A49" s="6" t="s">
        <v>191</v>
      </c>
      <c r="C49" s="7" t="s">
        <v>189</v>
      </c>
      <c r="D49" s="7">
        <v>920</v>
      </c>
      <c r="E49" s="7">
        <v>3.3</v>
      </c>
      <c r="G49" s="7" t="s">
        <v>192</v>
      </c>
      <c r="H49" s="7">
        <v>940</v>
      </c>
      <c r="I49" s="7">
        <v>2.9</v>
      </c>
      <c r="J49" s="7">
        <f>IF(Table73844[[#This Row],[ระยะทาง]]&gt;999,1000,IF(Table73844[[#This Row],[ระยะทาง]]&gt;800,800,IF(Table73844[[#This Row],[ระยะทาง]]&gt;500,500,0)))</f>
        <v>800</v>
      </c>
      <c r="L49" s="7" t="s">
        <v>193</v>
      </c>
      <c r="M49" s="7">
        <v>770</v>
      </c>
      <c r="N49" s="7">
        <v>2.6</v>
      </c>
      <c r="O49" s="7">
        <v>15</v>
      </c>
      <c r="P49" s="7">
        <v>4.7</v>
      </c>
      <c r="Q49" s="7">
        <v>1500</v>
      </c>
    </row>
    <row r="50" spans="1:17" x14ac:dyDescent="0.25">
      <c r="A50" s="6" t="s">
        <v>7</v>
      </c>
      <c r="C50" s="7" t="s">
        <v>192</v>
      </c>
      <c r="D50" s="7">
        <v>940</v>
      </c>
      <c r="E50" s="7">
        <v>3.3</v>
      </c>
      <c r="G50" s="7" t="s">
        <v>52</v>
      </c>
      <c r="H50" s="7">
        <v>130</v>
      </c>
      <c r="J50" s="7">
        <f>IF(Table73844[[#This Row],[ระยะทาง]]&gt;999,1000,IF(Table73844[[#This Row],[ระยะทาง]]&gt;800,800,IF(Table73844[[#This Row],[ระยะทาง]]&gt;500,500,0)))</f>
        <v>0</v>
      </c>
      <c r="L50" s="7" t="s">
        <v>194</v>
      </c>
      <c r="M50" s="7">
        <v>120</v>
      </c>
      <c r="N50" s="7">
        <v>2.6</v>
      </c>
      <c r="O50" s="7">
        <v>3</v>
      </c>
      <c r="P50" s="7">
        <v>4.7</v>
      </c>
      <c r="Q50" s="7">
        <v>0</v>
      </c>
    </row>
    <row r="51" spans="1:17" x14ac:dyDescent="0.25">
      <c r="A51" s="6" t="s">
        <v>195</v>
      </c>
      <c r="C51" s="7" t="s">
        <v>52</v>
      </c>
      <c r="D51" s="7">
        <v>130</v>
      </c>
      <c r="E51" s="7">
        <v>3.4</v>
      </c>
      <c r="G51" s="7" t="s">
        <v>196</v>
      </c>
      <c r="H51" s="7">
        <v>940</v>
      </c>
      <c r="I51" s="7">
        <v>2.9</v>
      </c>
      <c r="J51" s="7">
        <f>IF(Table73844[[#This Row],[ระยะทาง]]&gt;999,1000,IF(Table73844[[#This Row],[ระยะทาง]]&gt;800,800,IF(Table73844[[#This Row],[ระยะทาง]]&gt;500,500,0)))</f>
        <v>800</v>
      </c>
      <c r="L51" s="8" t="s">
        <v>197</v>
      </c>
      <c r="M51" s="7">
        <v>820</v>
      </c>
      <c r="N51" s="7">
        <v>2.6</v>
      </c>
      <c r="O51" s="7">
        <v>18</v>
      </c>
      <c r="P51" s="7">
        <v>4.7</v>
      </c>
      <c r="Q51" s="7">
        <v>2500</v>
      </c>
    </row>
    <row r="52" spans="1:17" x14ac:dyDescent="0.25">
      <c r="A52" s="6" t="s">
        <v>198</v>
      </c>
      <c r="C52" s="7" t="s">
        <v>196</v>
      </c>
      <c r="D52" s="7">
        <v>940</v>
      </c>
      <c r="E52" s="7">
        <v>3.3</v>
      </c>
      <c r="G52" s="7" t="s">
        <v>199</v>
      </c>
      <c r="H52" s="7">
        <v>910</v>
      </c>
      <c r="I52" s="7">
        <v>2.9</v>
      </c>
      <c r="J52" s="7">
        <f>IF(Table73844[[#This Row],[ระยะทาง]]&gt;999,1000,IF(Table73844[[#This Row],[ระยะทาง]]&gt;800,800,IF(Table73844[[#This Row],[ระยะทาง]]&gt;500,500,0)))</f>
        <v>800</v>
      </c>
      <c r="L52" s="7" t="s">
        <v>200</v>
      </c>
      <c r="M52" s="7">
        <v>910</v>
      </c>
      <c r="N52" s="7">
        <v>2.5</v>
      </c>
      <c r="Q52" s="7">
        <v>3000</v>
      </c>
    </row>
    <row r="53" spans="1:17" x14ac:dyDescent="0.25">
      <c r="A53" s="6" t="s">
        <v>1</v>
      </c>
      <c r="C53" s="7" t="s">
        <v>199</v>
      </c>
      <c r="D53" s="7">
        <v>910</v>
      </c>
      <c r="E53" s="7">
        <v>3.3</v>
      </c>
      <c r="G53" s="7" t="s">
        <v>201</v>
      </c>
      <c r="H53" s="7">
        <v>940</v>
      </c>
      <c r="I53" s="7">
        <v>2.9</v>
      </c>
      <c r="J53" s="7">
        <f>IF(Table73844[[#This Row],[ระยะทาง]]&gt;999,1000,IF(Table73844[[#This Row],[ระยะทาง]]&gt;800,800,IF(Table73844[[#This Row],[ระยะทาง]]&gt;500,500,0)))</f>
        <v>800</v>
      </c>
      <c r="L53" s="7" t="s">
        <v>202</v>
      </c>
      <c r="M53" s="7">
        <v>920</v>
      </c>
      <c r="N53" s="7">
        <v>2.5</v>
      </c>
      <c r="Q53" s="7">
        <v>3000</v>
      </c>
    </row>
    <row r="54" spans="1:17" x14ac:dyDescent="0.25">
      <c r="A54" s="6" t="s">
        <v>203</v>
      </c>
      <c r="C54" s="7" t="s">
        <v>201</v>
      </c>
      <c r="D54" s="7">
        <v>940</v>
      </c>
      <c r="E54" s="7">
        <v>3.3</v>
      </c>
      <c r="G54" s="7" t="s">
        <v>204</v>
      </c>
      <c r="H54" s="7">
        <v>900</v>
      </c>
      <c r="I54" s="7">
        <v>2.9</v>
      </c>
      <c r="J54" s="7">
        <f>IF(Table73844[[#This Row],[ระยะทาง]]&gt;999,1000,IF(Table73844[[#This Row],[ระยะทาง]]&gt;800,800,IF(Table73844[[#This Row],[ระยะทาง]]&gt;500,500,0)))</f>
        <v>800</v>
      </c>
      <c r="L54" s="8" t="s">
        <v>205</v>
      </c>
      <c r="M54" s="7">
        <v>1280</v>
      </c>
      <c r="N54" s="7">
        <v>2.6</v>
      </c>
      <c r="O54" s="7">
        <v>29</v>
      </c>
      <c r="P54" s="7">
        <v>4.7</v>
      </c>
      <c r="Q54" s="7">
        <v>3000</v>
      </c>
    </row>
    <row r="55" spans="1:17" x14ac:dyDescent="0.25">
      <c r="A55" s="6" t="s">
        <v>206</v>
      </c>
      <c r="C55" s="7" t="s">
        <v>204</v>
      </c>
      <c r="D55" s="7">
        <v>900</v>
      </c>
      <c r="E55" s="7">
        <v>3.3</v>
      </c>
      <c r="G55" s="7" t="s">
        <v>207</v>
      </c>
      <c r="H55" s="7">
        <v>830</v>
      </c>
      <c r="I55" s="7">
        <v>3</v>
      </c>
      <c r="J55" s="7">
        <f>IF(Table73844[[#This Row],[ระยะทาง]]&gt;999,1000,IF(Table73844[[#This Row],[ระยะทาง]]&gt;800,800,IF(Table73844[[#This Row],[ระยะทาง]]&gt;500,500,0)))</f>
        <v>800</v>
      </c>
      <c r="L55" s="7" t="s">
        <v>208</v>
      </c>
      <c r="M55" s="7">
        <v>890</v>
      </c>
      <c r="N55" s="7">
        <v>2.5</v>
      </c>
      <c r="P55" s="7">
        <v>4.7</v>
      </c>
      <c r="Q55" s="7">
        <v>3000</v>
      </c>
    </row>
    <row r="56" spans="1:17" x14ac:dyDescent="0.25">
      <c r="A56" s="6" t="s">
        <v>209</v>
      </c>
      <c r="C56" s="7" t="s">
        <v>207</v>
      </c>
      <c r="D56" s="7">
        <v>830</v>
      </c>
      <c r="E56" s="7">
        <v>3.4</v>
      </c>
      <c r="G56" s="7" t="s">
        <v>210</v>
      </c>
      <c r="H56" s="7">
        <v>980</v>
      </c>
      <c r="I56" s="7">
        <v>2.9</v>
      </c>
      <c r="J56" s="7">
        <f>IF(Table73844[[#This Row],[ระยะทาง]]&gt;999,1000,IF(Table73844[[#This Row],[ระยะทาง]]&gt;800,800,IF(Table73844[[#This Row],[ระยะทาง]]&gt;500,500,0)))</f>
        <v>800</v>
      </c>
      <c r="L56" s="7" t="s">
        <v>211</v>
      </c>
      <c r="M56" s="7">
        <v>1090</v>
      </c>
      <c r="N56" s="7">
        <v>2.6</v>
      </c>
      <c r="O56" s="7">
        <v>24</v>
      </c>
      <c r="P56" s="7">
        <v>4.7</v>
      </c>
      <c r="Q56" s="7">
        <v>3000</v>
      </c>
    </row>
    <row r="57" spans="1:17" x14ac:dyDescent="0.25">
      <c r="A57" s="6" t="s">
        <v>212</v>
      </c>
      <c r="C57" s="7" t="s">
        <v>210</v>
      </c>
      <c r="D57" s="7">
        <v>980</v>
      </c>
      <c r="E57" s="7">
        <v>3.3</v>
      </c>
      <c r="G57" s="7" t="s">
        <v>213</v>
      </c>
      <c r="H57" s="7">
        <v>860</v>
      </c>
      <c r="I57" s="7">
        <v>3</v>
      </c>
      <c r="J57" s="7">
        <f>IF(Table73844[[#This Row],[ระยะทาง]]&gt;999,1000,IF(Table73844[[#This Row],[ระยะทาง]]&gt;800,800,IF(Table73844[[#This Row],[ระยะทาง]]&gt;500,500,0)))</f>
        <v>800</v>
      </c>
      <c r="L57" s="7" t="s">
        <v>214</v>
      </c>
      <c r="M57" s="7">
        <v>970</v>
      </c>
      <c r="N57" s="7">
        <v>2.6</v>
      </c>
      <c r="O57" s="7">
        <v>21</v>
      </c>
      <c r="P57" s="7">
        <v>4.7</v>
      </c>
      <c r="Q57" s="7">
        <v>3000</v>
      </c>
    </row>
    <row r="58" spans="1:17" x14ac:dyDescent="0.25">
      <c r="A58" s="6" t="s">
        <v>215</v>
      </c>
      <c r="C58" s="7" t="s">
        <v>213</v>
      </c>
      <c r="D58" s="7">
        <v>860</v>
      </c>
      <c r="E58" s="7">
        <v>3.4</v>
      </c>
      <c r="G58" s="7" t="s">
        <v>216</v>
      </c>
      <c r="H58" s="7">
        <v>1600</v>
      </c>
      <c r="I58" s="7">
        <v>3</v>
      </c>
      <c r="J58" s="7">
        <f>IF(Table73844[[#This Row],[ระยะทาง]]&gt;999,1000,IF(Table73844[[#This Row],[ระยะทาง]]&gt;800,800,IF(Table73844[[#This Row],[ระยะทาง]]&gt;500,500,0)))</f>
        <v>1000</v>
      </c>
      <c r="L58" s="8" t="s">
        <v>217</v>
      </c>
      <c r="M58" s="7">
        <v>520</v>
      </c>
      <c r="N58" s="7">
        <v>2.6</v>
      </c>
      <c r="Q58" s="7">
        <v>2000</v>
      </c>
    </row>
    <row r="59" spans="1:17" x14ac:dyDescent="0.25">
      <c r="A59" s="6" t="s">
        <v>218</v>
      </c>
      <c r="C59" s="7" t="s">
        <v>216</v>
      </c>
      <c r="D59" s="7">
        <v>1600</v>
      </c>
      <c r="E59" s="7">
        <v>3.4</v>
      </c>
      <c r="G59" s="7" t="s">
        <v>219</v>
      </c>
      <c r="H59" s="7">
        <v>750</v>
      </c>
      <c r="I59" s="7">
        <v>3</v>
      </c>
      <c r="J59" s="7">
        <f>IF(Table73844[[#This Row],[ระยะทาง]]&gt;999,1000,IF(Table73844[[#This Row],[ระยะทาง]]&gt;800,800,IF(Table73844[[#This Row],[ระยะทาง]]&gt;500,500,0)))</f>
        <v>500</v>
      </c>
      <c r="L59" s="7" t="s">
        <v>220</v>
      </c>
      <c r="M59" s="7">
        <v>920</v>
      </c>
      <c r="N59" s="7">
        <v>2.5</v>
      </c>
      <c r="P59" s="7">
        <v>4.7</v>
      </c>
      <c r="Q59" s="7">
        <v>3000</v>
      </c>
    </row>
    <row r="60" spans="1:17" x14ac:dyDescent="0.25">
      <c r="A60" s="6" t="s">
        <v>221</v>
      </c>
      <c r="C60" s="7" t="s">
        <v>219</v>
      </c>
      <c r="D60" s="7">
        <v>750</v>
      </c>
      <c r="E60" s="7">
        <v>3.4</v>
      </c>
      <c r="G60" s="7" t="s">
        <v>222</v>
      </c>
      <c r="H60" s="7">
        <v>840</v>
      </c>
      <c r="I60" s="7">
        <v>3</v>
      </c>
      <c r="J60" s="7">
        <f>IF(Table73844[[#This Row],[ระยะทาง]]&gt;999,1000,IF(Table73844[[#This Row],[ระยะทาง]]&gt;800,800,IF(Table73844[[#This Row],[ระยะทาง]]&gt;500,500,0)))</f>
        <v>800</v>
      </c>
      <c r="L60" s="7" t="s">
        <v>223</v>
      </c>
      <c r="M60" s="7">
        <v>1220</v>
      </c>
      <c r="N60" s="7">
        <v>2.6</v>
      </c>
      <c r="O60" s="7">
        <v>28</v>
      </c>
      <c r="P60" s="7">
        <v>4.7</v>
      </c>
      <c r="Q60" s="7">
        <v>3000</v>
      </c>
    </row>
    <row r="61" spans="1:17" x14ac:dyDescent="0.25">
      <c r="A61" s="6" t="s">
        <v>224</v>
      </c>
      <c r="C61" s="7" t="s">
        <v>222</v>
      </c>
      <c r="D61" s="7">
        <v>840</v>
      </c>
      <c r="E61" s="7">
        <v>3.4</v>
      </c>
      <c r="G61" s="7" t="s">
        <v>225</v>
      </c>
      <c r="H61" s="7">
        <v>730</v>
      </c>
      <c r="I61" s="7">
        <v>3</v>
      </c>
      <c r="J61" s="7">
        <f>IF(Table73844[[#This Row],[ระยะทาง]]&gt;999,1000,IF(Table73844[[#This Row],[ระยะทาง]]&gt;800,800,IF(Table73844[[#This Row],[ระยะทาง]]&gt;500,500,0)))</f>
        <v>500</v>
      </c>
      <c r="L61" s="7" t="s">
        <v>226</v>
      </c>
      <c r="M61" s="7">
        <v>1850</v>
      </c>
      <c r="N61" s="7">
        <v>2.6</v>
      </c>
      <c r="O61" s="7">
        <v>40</v>
      </c>
      <c r="P61" s="7">
        <v>4.7</v>
      </c>
      <c r="Q61" s="7">
        <v>5000</v>
      </c>
    </row>
    <row r="62" spans="1:17" x14ac:dyDescent="0.25">
      <c r="A62" s="6" t="s">
        <v>5</v>
      </c>
      <c r="C62" s="7" t="s">
        <v>225</v>
      </c>
      <c r="D62" s="7">
        <v>730</v>
      </c>
      <c r="E62" s="7">
        <v>3.4</v>
      </c>
      <c r="G62" s="7" t="s">
        <v>227</v>
      </c>
      <c r="H62" s="7">
        <v>830</v>
      </c>
      <c r="I62" s="7">
        <v>3</v>
      </c>
      <c r="J62" s="7">
        <f>IF(Table73844[[#This Row],[ระยะทาง]]&gt;999,1000,IF(Table73844[[#This Row],[ระยะทาง]]&gt;800,800,IF(Table73844[[#This Row],[ระยะทาง]]&gt;500,500,0)))</f>
        <v>800</v>
      </c>
      <c r="L62" s="7" t="s">
        <v>228</v>
      </c>
      <c r="M62" s="7">
        <v>940</v>
      </c>
      <c r="N62" s="7">
        <v>2.5</v>
      </c>
      <c r="P62" s="7">
        <v>4.7</v>
      </c>
      <c r="Q62" s="7">
        <v>3000</v>
      </c>
    </row>
    <row r="63" spans="1:17" x14ac:dyDescent="0.25">
      <c r="A63" s="6" t="s">
        <v>229</v>
      </c>
      <c r="C63" s="7" t="s">
        <v>227</v>
      </c>
      <c r="D63" s="7">
        <v>830</v>
      </c>
      <c r="E63" s="7">
        <v>3.4</v>
      </c>
      <c r="G63" s="7" t="s">
        <v>230</v>
      </c>
      <c r="H63" s="7">
        <v>850</v>
      </c>
      <c r="I63" s="7">
        <v>3</v>
      </c>
      <c r="J63" s="7">
        <f>IF(Table73844[[#This Row],[ระยะทาง]]&gt;999,1000,IF(Table73844[[#This Row],[ระยะทาง]]&gt;800,800,IF(Table73844[[#This Row],[ระยะทาง]]&gt;500,500,0)))</f>
        <v>800</v>
      </c>
      <c r="L63" s="7" t="s">
        <v>231</v>
      </c>
      <c r="M63" s="7">
        <v>1240</v>
      </c>
      <c r="N63" s="7">
        <v>2.5</v>
      </c>
      <c r="O63" s="7">
        <v>27</v>
      </c>
      <c r="P63" s="7">
        <v>4.7</v>
      </c>
      <c r="Q63" s="7">
        <v>3000</v>
      </c>
    </row>
    <row r="64" spans="1:17" x14ac:dyDescent="0.25">
      <c r="A64" s="6" t="s">
        <v>232</v>
      </c>
      <c r="C64" s="8" t="s">
        <v>230</v>
      </c>
      <c r="D64" s="7">
        <v>850</v>
      </c>
      <c r="E64" s="7">
        <v>3.4</v>
      </c>
      <c r="G64" s="8" t="s">
        <v>233</v>
      </c>
      <c r="H64" s="7">
        <v>850</v>
      </c>
      <c r="I64" s="7">
        <v>3</v>
      </c>
      <c r="J64" s="7">
        <f>IF(Table73844[[#This Row],[ระยะทาง]]&gt;999,1000,IF(Table73844[[#This Row],[ระยะทาง]]&gt;800,800,IF(Table73844[[#This Row],[ระยะทาง]]&gt;500,500,0)))</f>
        <v>800</v>
      </c>
      <c r="L64" s="7" t="s">
        <v>234</v>
      </c>
      <c r="M64" s="7">
        <v>750</v>
      </c>
      <c r="N64" s="7">
        <v>2.6</v>
      </c>
      <c r="O64" s="7">
        <v>15</v>
      </c>
      <c r="P64" s="7">
        <v>4.7</v>
      </c>
      <c r="Q64" s="7">
        <v>2500</v>
      </c>
    </row>
    <row r="65" spans="1:17" x14ac:dyDescent="0.25">
      <c r="A65" s="6" t="s">
        <v>235</v>
      </c>
      <c r="C65" s="8" t="s">
        <v>233</v>
      </c>
      <c r="D65" s="7">
        <v>850</v>
      </c>
      <c r="E65" s="7">
        <v>3.4</v>
      </c>
      <c r="G65" s="8" t="s">
        <v>236</v>
      </c>
      <c r="H65" s="7">
        <v>870</v>
      </c>
      <c r="I65" s="7">
        <v>3</v>
      </c>
      <c r="J65" s="7">
        <f>IF(Table73844[[#This Row],[ระยะทาง]]&gt;999,1000,IF(Table73844[[#This Row],[ระยะทาง]]&gt;800,800,IF(Table73844[[#This Row],[ระยะทาง]]&gt;500,500,0)))</f>
        <v>800</v>
      </c>
      <c r="L65" s="7" t="s">
        <v>237</v>
      </c>
      <c r="M65" s="7">
        <v>630</v>
      </c>
      <c r="N65" s="7">
        <v>2.6</v>
      </c>
      <c r="O65" s="7">
        <v>13</v>
      </c>
      <c r="P65" s="7">
        <v>4.7</v>
      </c>
      <c r="Q65" s="7">
        <v>2500</v>
      </c>
    </row>
    <row r="66" spans="1:17" x14ac:dyDescent="0.25">
      <c r="A66" s="6" t="s">
        <v>238</v>
      </c>
      <c r="C66" s="8" t="s">
        <v>236</v>
      </c>
      <c r="D66" s="7">
        <v>870</v>
      </c>
      <c r="E66" s="7">
        <v>3.4</v>
      </c>
      <c r="G66" s="8" t="s">
        <v>239</v>
      </c>
      <c r="H66" s="7">
        <v>870</v>
      </c>
      <c r="I66" s="7">
        <v>3</v>
      </c>
      <c r="J66" s="7">
        <f>IF(Table73844[[#This Row],[ระยะทาง]]&gt;999,1000,IF(Table73844[[#This Row],[ระยะทาง]]&gt;800,800,IF(Table73844[[#This Row],[ระยะทาง]]&gt;500,500,0)))</f>
        <v>800</v>
      </c>
      <c r="L66" s="7" t="s">
        <v>240</v>
      </c>
      <c r="M66" s="7">
        <v>1600</v>
      </c>
      <c r="N66" s="7">
        <v>2.6</v>
      </c>
      <c r="O66" s="7">
        <v>36</v>
      </c>
      <c r="P66" s="7">
        <v>4.7</v>
      </c>
      <c r="Q66" s="7">
        <v>4000</v>
      </c>
    </row>
    <row r="67" spans="1:17" x14ac:dyDescent="0.25">
      <c r="A67" s="9" t="s">
        <v>241</v>
      </c>
      <c r="C67" s="7" t="s">
        <v>242</v>
      </c>
      <c r="D67" s="7">
        <v>600</v>
      </c>
      <c r="E67" s="7">
        <v>3.4</v>
      </c>
      <c r="G67" s="7" t="s">
        <v>242</v>
      </c>
      <c r="H67" s="7">
        <v>600</v>
      </c>
      <c r="I67" s="7">
        <v>3</v>
      </c>
      <c r="J67" s="7">
        <f>IF(Table73844[[#This Row],[ระยะทาง]]&gt;999,1000,IF(Table73844[[#This Row],[ระยะทาง]]&gt;800,800,IF(Table73844[[#This Row],[ระยะทาง]]&gt;500,500,0)))</f>
        <v>500</v>
      </c>
      <c r="L67" s="7" t="s">
        <v>243</v>
      </c>
      <c r="M67" s="7">
        <v>1480</v>
      </c>
      <c r="N67" s="7">
        <v>2.6</v>
      </c>
      <c r="O67" s="7">
        <v>33</v>
      </c>
      <c r="P67" s="7">
        <v>4.7</v>
      </c>
      <c r="Q67" s="7">
        <v>4000</v>
      </c>
    </row>
    <row r="68" spans="1:17" x14ac:dyDescent="0.25">
      <c r="A68" s="9" t="s">
        <v>244</v>
      </c>
      <c r="C68" s="7" t="s">
        <v>245</v>
      </c>
      <c r="D68" s="7">
        <v>100</v>
      </c>
      <c r="E68" s="7">
        <v>3.4</v>
      </c>
      <c r="G68" s="7" t="s">
        <v>245</v>
      </c>
      <c r="H68" s="7">
        <v>100</v>
      </c>
      <c r="I68" s="7">
        <v>3</v>
      </c>
      <c r="J68" s="7">
        <f>IF(Table73844[[#This Row],[ระยะทาง]]&gt;999,1000,IF(Table73844[[#This Row],[ระยะทาง]]&gt;800,800,IF(Table73844[[#This Row],[ระยะทาง]]&gt;500,500,0)))</f>
        <v>0</v>
      </c>
      <c r="L68" s="7" t="s">
        <v>246</v>
      </c>
      <c r="M68" s="7">
        <v>790</v>
      </c>
      <c r="N68" s="7">
        <v>2.6</v>
      </c>
      <c r="O68" s="7">
        <v>17</v>
      </c>
      <c r="P68" s="7">
        <v>4.7</v>
      </c>
      <c r="Q68" s="7">
        <v>2500</v>
      </c>
    </row>
    <row r="69" spans="1:17" x14ac:dyDescent="0.25">
      <c r="A69" s="9" t="s">
        <v>247</v>
      </c>
      <c r="C69" s="7" t="s">
        <v>248</v>
      </c>
      <c r="D69" s="7">
        <v>1100</v>
      </c>
      <c r="E69" s="7">
        <v>3.4</v>
      </c>
      <c r="G69" s="7" t="s">
        <v>248</v>
      </c>
      <c r="H69" s="7">
        <v>1100</v>
      </c>
      <c r="I69" s="7">
        <v>3</v>
      </c>
      <c r="J69" s="7">
        <f>IF(Table73844[[#This Row],[ระยะทาง]]&gt;999,1000,IF(Table73844[[#This Row],[ระยะทาง]]&gt;800,800,IF(Table73844[[#This Row],[ระยะทาง]]&gt;500,500,0)))</f>
        <v>1000</v>
      </c>
      <c r="L69" s="7" t="s">
        <v>249</v>
      </c>
      <c r="M69" s="7">
        <v>670</v>
      </c>
      <c r="N69" s="7">
        <v>2.6</v>
      </c>
      <c r="O69" s="7">
        <v>14</v>
      </c>
      <c r="P69" s="7">
        <v>4.7</v>
      </c>
      <c r="Q69" s="7">
        <v>2500</v>
      </c>
    </row>
    <row r="70" spans="1:17" x14ac:dyDescent="0.25">
      <c r="A70" s="9" t="s">
        <v>250</v>
      </c>
      <c r="C70" s="7" t="s">
        <v>251</v>
      </c>
      <c r="D70" s="7">
        <v>1090</v>
      </c>
      <c r="E70" s="7">
        <v>3.4</v>
      </c>
      <c r="G70" s="7" t="s">
        <v>251</v>
      </c>
      <c r="H70" s="7">
        <v>1090</v>
      </c>
      <c r="I70" s="7">
        <v>3</v>
      </c>
      <c r="J70" s="7">
        <f>IF(Table73844[[#This Row],[ระยะทาง]]&gt;999,1000,IF(Table73844[[#This Row],[ระยะทาง]]&gt;800,800,IF(Table73844[[#This Row],[ระยะทาง]]&gt;500,500,0)))</f>
        <v>1000</v>
      </c>
      <c r="L70" s="8" t="s">
        <v>252</v>
      </c>
      <c r="M70" s="7">
        <v>460</v>
      </c>
      <c r="N70" s="7">
        <v>2.6</v>
      </c>
      <c r="O70" s="7">
        <v>11</v>
      </c>
      <c r="P70" s="7">
        <v>4.7</v>
      </c>
      <c r="Q70" s="7">
        <v>2000</v>
      </c>
    </row>
    <row r="71" spans="1:17" x14ac:dyDescent="0.25">
      <c r="A71" s="9" t="s">
        <v>253</v>
      </c>
      <c r="C71" s="8" t="s">
        <v>254</v>
      </c>
      <c r="D71" s="7">
        <v>1120</v>
      </c>
      <c r="E71" s="7">
        <v>3.4</v>
      </c>
      <c r="G71" s="8" t="s">
        <v>254</v>
      </c>
      <c r="H71" s="7">
        <v>1120</v>
      </c>
      <c r="I71" s="7">
        <v>3</v>
      </c>
      <c r="J71" s="7">
        <f>IF(Table73844[[#This Row],[ระยะทาง]]&gt;999,1000,IF(Table73844[[#This Row],[ระยะทาง]]&gt;800,800,IF(Table73844[[#This Row],[ระยะทาง]]&gt;500,500,0)))</f>
        <v>1000</v>
      </c>
      <c r="L71" s="7" t="s">
        <v>255</v>
      </c>
      <c r="M71" s="7">
        <v>1170</v>
      </c>
      <c r="N71" s="7">
        <v>2.5499999999999998</v>
      </c>
      <c r="O71" s="7">
        <v>24</v>
      </c>
      <c r="P71" s="7">
        <v>4.7</v>
      </c>
      <c r="Q71" s="7">
        <v>3000</v>
      </c>
    </row>
    <row r="72" spans="1:17" x14ac:dyDescent="0.25">
      <c r="A72" s="9" t="s">
        <v>256</v>
      </c>
      <c r="C72" s="7" t="s">
        <v>257</v>
      </c>
      <c r="D72" s="7">
        <v>1120</v>
      </c>
      <c r="E72" s="7">
        <v>3.4</v>
      </c>
      <c r="G72" s="7" t="s">
        <v>257</v>
      </c>
      <c r="H72" s="7">
        <v>1120</v>
      </c>
      <c r="I72" s="7">
        <v>3</v>
      </c>
      <c r="J72" s="7">
        <f>IF(Table73844[[#This Row],[ระยะทาง]]&gt;999,1000,IF(Table73844[[#This Row],[ระยะทาง]]&gt;800,800,IF(Table73844[[#This Row],[ระยะทาง]]&gt;500,500,0)))</f>
        <v>1000</v>
      </c>
      <c r="L72" s="7" t="s">
        <v>258</v>
      </c>
      <c r="M72" s="7">
        <v>760</v>
      </c>
      <c r="N72" s="7">
        <v>2.6</v>
      </c>
      <c r="O72" s="7">
        <v>17</v>
      </c>
      <c r="P72" s="7">
        <v>4.7</v>
      </c>
      <c r="Q72" s="7">
        <v>2500</v>
      </c>
    </row>
    <row r="73" spans="1:17" x14ac:dyDescent="0.25">
      <c r="A73" s="6" t="s">
        <v>259</v>
      </c>
      <c r="C73" s="7" t="s">
        <v>260</v>
      </c>
      <c r="D73" s="7">
        <v>390</v>
      </c>
      <c r="E73" s="7">
        <v>3.4</v>
      </c>
      <c r="G73" s="7" t="s">
        <v>260</v>
      </c>
      <c r="H73" s="7">
        <v>390</v>
      </c>
      <c r="I73" s="7">
        <v>3</v>
      </c>
      <c r="J73" s="7">
        <f>IF(Table73844[[#This Row],[ระยะทาง]]&gt;999,1000,IF(Table73844[[#This Row],[ระยะทาง]]&gt;800,800,IF(Table73844[[#This Row],[ระยะทาง]]&gt;500,500,0)))</f>
        <v>0</v>
      </c>
      <c r="L73" s="7" t="s">
        <v>261</v>
      </c>
      <c r="M73" s="7">
        <v>660</v>
      </c>
      <c r="N73" s="7">
        <v>2.6</v>
      </c>
      <c r="O73" s="7">
        <v>14</v>
      </c>
      <c r="P73" s="7">
        <v>4.7</v>
      </c>
      <c r="Q73" s="7">
        <v>2500</v>
      </c>
    </row>
    <row r="74" spans="1:17" x14ac:dyDescent="0.25">
      <c r="A74" s="9" t="s">
        <v>262</v>
      </c>
      <c r="C74" s="7" t="s">
        <v>263</v>
      </c>
      <c r="D74" s="7">
        <v>350</v>
      </c>
      <c r="E74" s="7">
        <v>3.4</v>
      </c>
      <c r="G74" s="7" t="s">
        <v>263</v>
      </c>
      <c r="H74" s="7">
        <v>350</v>
      </c>
      <c r="I74" s="7">
        <v>3</v>
      </c>
      <c r="J74" s="7">
        <f>IF(Table73844[[#This Row],[ระยะทาง]]&gt;999,1000,IF(Table73844[[#This Row],[ระยะทาง]]&gt;800,800,IF(Table73844[[#This Row],[ระยะทาง]]&gt;500,500,0)))</f>
        <v>0</v>
      </c>
      <c r="L74" s="7" t="s">
        <v>264</v>
      </c>
      <c r="M74" s="7">
        <v>650</v>
      </c>
      <c r="N74" s="7">
        <v>2.6</v>
      </c>
      <c r="O74" s="7">
        <v>12</v>
      </c>
      <c r="P74" s="7">
        <v>4.7</v>
      </c>
      <c r="Q74" s="7">
        <v>1500</v>
      </c>
    </row>
    <row r="75" spans="1:17" x14ac:dyDescent="0.25">
      <c r="A75" s="9" t="s">
        <v>265</v>
      </c>
      <c r="C75" s="7" t="s">
        <v>266</v>
      </c>
      <c r="D75" s="7">
        <v>860</v>
      </c>
      <c r="E75" s="7">
        <v>3.4</v>
      </c>
      <c r="G75" s="7" t="s">
        <v>266</v>
      </c>
      <c r="H75" s="7">
        <v>860</v>
      </c>
      <c r="I75" s="7">
        <v>3</v>
      </c>
      <c r="J75" s="7">
        <f>IF(Table73844[[#This Row],[ระยะทาง]]&gt;999,1000,IF(Table73844[[#This Row],[ระยะทาง]]&gt;800,800,IF(Table73844[[#This Row],[ระยะทาง]]&gt;500,500,0)))</f>
        <v>800</v>
      </c>
      <c r="L75" s="7" t="s">
        <v>77</v>
      </c>
      <c r="M75" s="7">
        <v>130</v>
      </c>
      <c r="N75" s="7">
        <v>2.6</v>
      </c>
      <c r="O75" s="7">
        <v>4</v>
      </c>
      <c r="P75" s="7">
        <v>4.7</v>
      </c>
      <c r="Q75" s="7">
        <v>500</v>
      </c>
    </row>
    <row r="76" spans="1:17" x14ac:dyDescent="0.25">
      <c r="A76" s="9" t="s">
        <v>267</v>
      </c>
      <c r="C76" s="7" t="s">
        <v>268</v>
      </c>
      <c r="D76" s="7">
        <v>1040</v>
      </c>
      <c r="E76" s="7">
        <v>3.4</v>
      </c>
      <c r="G76" s="7" t="s">
        <v>268</v>
      </c>
      <c r="H76" s="7">
        <v>1040</v>
      </c>
      <c r="I76" s="7">
        <v>3</v>
      </c>
      <c r="J76" s="7">
        <f>IF(Table73844[[#This Row],[ระยะทาง]]&gt;999,1000,IF(Table73844[[#This Row],[ระยะทาง]]&gt;800,800,IF(Table73844[[#This Row],[ระยะทาง]]&gt;500,500,0)))</f>
        <v>1000</v>
      </c>
      <c r="L76" s="7" t="s">
        <v>269</v>
      </c>
      <c r="M76" s="7">
        <v>120</v>
      </c>
      <c r="N76" s="7">
        <v>2.6</v>
      </c>
      <c r="O76" s="7">
        <v>3</v>
      </c>
      <c r="P76" s="7">
        <v>4.7</v>
      </c>
      <c r="Q76" s="7">
        <v>0</v>
      </c>
    </row>
    <row r="77" spans="1:17" x14ac:dyDescent="0.25">
      <c r="A77" s="9" t="s">
        <v>270</v>
      </c>
      <c r="C77" s="7" t="s">
        <v>271</v>
      </c>
      <c r="D77" s="7">
        <v>350</v>
      </c>
      <c r="E77" s="7">
        <v>3.4</v>
      </c>
      <c r="G77" s="7" t="s">
        <v>271</v>
      </c>
      <c r="H77" s="7">
        <v>350</v>
      </c>
      <c r="I77" s="7">
        <v>3</v>
      </c>
      <c r="J77" s="7">
        <f>IF(Table73844[[#This Row],[ระยะทาง]]&gt;999,1000,IF(Table73844[[#This Row],[ระยะทาง]]&gt;800,800,IF(Table73844[[#This Row],[ระยะทาง]]&gt;500,500,0)))</f>
        <v>0</v>
      </c>
      <c r="L77" s="7" t="s">
        <v>272</v>
      </c>
      <c r="M77" s="7">
        <v>940</v>
      </c>
      <c r="N77" s="7">
        <v>2.5</v>
      </c>
      <c r="P77" s="7">
        <v>4.7</v>
      </c>
      <c r="Q77" s="7">
        <v>3000</v>
      </c>
    </row>
    <row r="78" spans="1:17" x14ac:dyDescent="0.25">
      <c r="A78" s="9" t="s">
        <v>273</v>
      </c>
      <c r="C78" s="7" t="s">
        <v>274</v>
      </c>
      <c r="D78" s="7">
        <v>230</v>
      </c>
      <c r="E78" s="7">
        <v>3.4</v>
      </c>
      <c r="G78" s="7" t="s">
        <v>274</v>
      </c>
      <c r="H78" s="7">
        <v>230</v>
      </c>
      <c r="I78" s="7">
        <v>3</v>
      </c>
      <c r="J78" s="7">
        <f>IF(Table73844[[#This Row],[ระยะทาง]]&gt;999,1000,IF(Table73844[[#This Row],[ระยะทาง]]&gt;800,800,IF(Table73844[[#This Row],[ระยะทาง]]&gt;500,500,0)))</f>
        <v>0</v>
      </c>
      <c r="L78" s="8" t="s">
        <v>275</v>
      </c>
      <c r="M78" s="7">
        <v>1680</v>
      </c>
      <c r="N78" s="7">
        <v>2.6</v>
      </c>
      <c r="O78" s="7">
        <v>36</v>
      </c>
      <c r="P78" s="7">
        <v>4.7</v>
      </c>
      <c r="Q78" s="7">
        <v>4000</v>
      </c>
    </row>
    <row r="79" spans="1:17" x14ac:dyDescent="0.25">
      <c r="A79" s="9" t="s">
        <v>276</v>
      </c>
      <c r="C79" s="7" t="s">
        <v>277</v>
      </c>
      <c r="D79" s="7">
        <v>740</v>
      </c>
      <c r="E79" s="7">
        <v>3.4</v>
      </c>
      <c r="G79" s="7" t="s">
        <v>277</v>
      </c>
      <c r="H79" s="7">
        <v>740</v>
      </c>
      <c r="I79" s="7">
        <v>3</v>
      </c>
      <c r="J79" s="7">
        <f>IF(Table73844[[#This Row],[ระยะทาง]]&gt;999,1000,IF(Table73844[[#This Row],[ระยะทาง]]&gt;800,800,IF(Table73844[[#This Row],[ระยะทาง]]&gt;500,500,0)))</f>
        <v>500</v>
      </c>
      <c r="L79" s="8" t="s">
        <v>278</v>
      </c>
      <c r="M79" s="7">
        <v>790</v>
      </c>
      <c r="N79" s="7">
        <v>2.6</v>
      </c>
      <c r="O79" s="7">
        <v>17</v>
      </c>
      <c r="P79" s="7">
        <v>4.7</v>
      </c>
      <c r="Q79" s="7">
        <v>2500</v>
      </c>
    </row>
    <row r="80" spans="1:17" x14ac:dyDescent="0.25">
      <c r="A80" s="9" t="s">
        <v>279</v>
      </c>
      <c r="C80" s="7" t="s">
        <v>280</v>
      </c>
      <c r="D80" s="7">
        <v>690</v>
      </c>
      <c r="E80" s="7">
        <v>3.4</v>
      </c>
      <c r="G80" s="7" t="s">
        <v>280</v>
      </c>
      <c r="H80" s="7">
        <v>690</v>
      </c>
      <c r="I80" s="7">
        <v>3</v>
      </c>
      <c r="J80" s="7">
        <f>IF(Table73844[[#This Row],[ระยะทาง]]&gt;999,1000,IF(Table73844[[#This Row],[ระยะทาง]]&gt;800,800,IF(Table73844[[#This Row],[ระยะทาง]]&gt;500,500,0)))</f>
        <v>500</v>
      </c>
      <c r="L80" s="8" t="s">
        <v>281</v>
      </c>
      <c r="M80" s="7">
        <v>1600</v>
      </c>
      <c r="N80" s="7">
        <v>2.6</v>
      </c>
      <c r="O80" s="7">
        <v>36</v>
      </c>
      <c r="P80" s="7">
        <v>4.7</v>
      </c>
      <c r="Q80" s="7">
        <v>4000</v>
      </c>
    </row>
    <row r="81" spans="1:17" x14ac:dyDescent="0.25">
      <c r="A81" s="6"/>
      <c r="C81" s="8" t="s">
        <v>282</v>
      </c>
      <c r="D81" s="7">
        <v>680</v>
      </c>
      <c r="E81" s="7">
        <v>3.4</v>
      </c>
      <c r="G81" s="8" t="s">
        <v>282</v>
      </c>
      <c r="H81" s="7">
        <v>680</v>
      </c>
      <c r="I81" s="7">
        <v>3</v>
      </c>
      <c r="J81" s="7">
        <f>IF(Table73844[[#This Row],[ระยะทาง]]&gt;999,1000,IF(Table73844[[#This Row],[ระยะทาง]]&gt;800,800,IF(Table73844[[#This Row],[ระยะทาง]]&gt;500,500,0)))</f>
        <v>500</v>
      </c>
      <c r="L81" s="7" t="s">
        <v>283</v>
      </c>
      <c r="M81" s="7">
        <v>1600</v>
      </c>
      <c r="N81" s="7">
        <v>2.6</v>
      </c>
      <c r="O81" s="7">
        <v>36</v>
      </c>
      <c r="P81" s="7">
        <v>4.7</v>
      </c>
      <c r="Q81" s="7">
        <v>4000</v>
      </c>
    </row>
    <row r="82" spans="1:17" x14ac:dyDescent="0.25">
      <c r="C82" s="7" t="s">
        <v>284</v>
      </c>
      <c r="D82" s="7">
        <v>740</v>
      </c>
      <c r="E82" s="7">
        <v>3.4</v>
      </c>
      <c r="G82" s="7" t="s">
        <v>284</v>
      </c>
      <c r="H82" s="7">
        <v>740</v>
      </c>
      <c r="I82" s="7">
        <v>3</v>
      </c>
      <c r="J82" s="7">
        <f>IF(Table73844[[#This Row],[ระยะทาง]]&gt;999,1000,IF(Table73844[[#This Row],[ระยะทาง]]&gt;800,800,IF(Table73844[[#This Row],[ระยะทาง]]&gt;500,500,0)))</f>
        <v>500</v>
      </c>
      <c r="L82" s="7" t="s">
        <v>285</v>
      </c>
      <c r="M82" s="7">
        <v>1500</v>
      </c>
      <c r="N82" s="7">
        <v>2.6</v>
      </c>
      <c r="O82" s="7">
        <v>33</v>
      </c>
      <c r="P82" s="7">
        <v>4.7</v>
      </c>
      <c r="Q82" s="7">
        <v>4000</v>
      </c>
    </row>
    <row r="83" spans="1:17" x14ac:dyDescent="0.25">
      <c r="C83" s="7" t="s">
        <v>286</v>
      </c>
      <c r="D83" s="7">
        <v>720</v>
      </c>
      <c r="E83" s="7">
        <v>3.4</v>
      </c>
      <c r="G83" s="7" t="s">
        <v>286</v>
      </c>
      <c r="H83" s="7">
        <v>720</v>
      </c>
      <c r="I83" s="7">
        <v>3</v>
      </c>
      <c r="J83" s="7">
        <f>IF(Table73844[[#This Row],[ระยะทาง]]&gt;999,1000,IF(Table73844[[#This Row],[ระยะทาง]]&gt;800,800,IF(Table73844[[#This Row],[ระยะทาง]]&gt;500,500,0)))</f>
        <v>500</v>
      </c>
      <c r="L83" s="8" t="s">
        <v>287</v>
      </c>
      <c r="M83" s="7">
        <v>970</v>
      </c>
      <c r="N83" s="7">
        <v>2.6</v>
      </c>
      <c r="O83" s="7">
        <v>18</v>
      </c>
      <c r="P83" s="7">
        <v>4.7</v>
      </c>
      <c r="Q83" s="7">
        <v>2500</v>
      </c>
    </row>
    <row r="84" spans="1:17" x14ac:dyDescent="0.25">
      <c r="C84" s="7" t="s">
        <v>288</v>
      </c>
      <c r="D84" s="7">
        <v>1180</v>
      </c>
      <c r="E84" s="7">
        <v>3.4</v>
      </c>
      <c r="G84" s="7" t="s">
        <v>288</v>
      </c>
      <c r="H84" s="7">
        <v>1180</v>
      </c>
      <c r="I84" s="7">
        <v>3</v>
      </c>
      <c r="J84" s="7">
        <f>IF(Table73844[[#This Row],[ระยะทาง]]&gt;999,1000,IF(Table73844[[#This Row],[ระยะทาง]]&gt;800,800,IF(Table73844[[#This Row],[ระยะทาง]]&gt;500,500,0)))</f>
        <v>1000</v>
      </c>
      <c r="L84" s="7" t="s">
        <v>289</v>
      </c>
      <c r="M84" s="7">
        <v>890</v>
      </c>
      <c r="N84" s="7">
        <v>2.5</v>
      </c>
      <c r="O84" s="7">
        <v>24</v>
      </c>
      <c r="P84" s="7">
        <v>4.7</v>
      </c>
      <c r="Q84" s="7">
        <v>3000</v>
      </c>
    </row>
    <row r="85" spans="1:17" x14ac:dyDescent="0.25">
      <c r="C85" s="7" t="s">
        <v>290</v>
      </c>
      <c r="D85" s="7">
        <v>720</v>
      </c>
      <c r="E85" s="7">
        <v>3.4</v>
      </c>
      <c r="G85" s="7" t="s">
        <v>290</v>
      </c>
      <c r="H85" s="7">
        <v>720</v>
      </c>
      <c r="I85" s="7">
        <v>3</v>
      </c>
      <c r="J85" s="7">
        <f>IF(Table73844[[#This Row],[ระยะทาง]]&gt;999,1000,IF(Table73844[[#This Row],[ระยะทาง]]&gt;800,800,IF(Table73844[[#This Row],[ระยะทาง]]&gt;500,500,0)))</f>
        <v>500</v>
      </c>
      <c r="L85" s="7" t="s">
        <v>291</v>
      </c>
      <c r="M85" s="7">
        <v>910</v>
      </c>
      <c r="N85" s="7">
        <v>2.5</v>
      </c>
      <c r="Q85" s="7">
        <v>3000</v>
      </c>
    </row>
    <row r="86" spans="1:17" x14ac:dyDescent="0.25">
      <c r="C86" s="8" t="s">
        <v>292</v>
      </c>
      <c r="D86" s="7">
        <v>590</v>
      </c>
      <c r="E86" s="7">
        <v>3.4</v>
      </c>
      <c r="G86" s="8" t="s">
        <v>292</v>
      </c>
      <c r="H86" s="7">
        <v>590</v>
      </c>
      <c r="I86" s="7">
        <v>3</v>
      </c>
      <c r="J86" s="7">
        <f>IF(Table73844[[#This Row],[ระยะทาง]]&gt;999,1000,IF(Table73844[[#This Row],[ระยะทาง]]&gt;800,800,IF(Table73844[[#This Row],[ระยะทาง]]&gt;500,500,0)))</f>
        <v>500</v>
      </c>
      <c r="L86" s="7" t="s">
        <v>293</v>
      </c>
      <c r="M86" s="7">
        <v>770</v>
      </c>
      <c r="N86" s="7">
        <v>2.6</v>
      </c>
      <c r="O86" s="7">
        <v>15</v>
      </c>
      <c r="P86" s="7">
        <v>4.7</v>
      </c>
      <c r="Q86" s="7">
        <v>2500</v>
      </c>
    </row>
    <row r="87" spans="1:17" x14ac:dyDescent="0.25">
      <c r="C87" s="7" t="s">
        <v>294</v>
      </c>
      <c r="D87" s="7">
        <v>670</v>
      </c>
      <c r="E87" s="7">
        <v>3.4</v>
      </c>
      <c r="G87" s="7" t="s">
        <v>294</v>
      </c>
      <c r="H87" s="7">
        <v>670</v>
      </c>
      <c r="I87" s="7">
        <v>3</v>
      </c>
      <c r="J87" s="7">
        <f>IF(Table73844[[#This Row],[ระยะทาง]]&gt;999,1000,IF(Table73844[[#This Row],[ระยะทาง]]&gt;800,800,IF(Table73844[[#This Row],[ระยะทาง]]&gt;500,500,0)))</f>
        <v>500</v>
      </c>
      <c r="L87" s="7" t="s">
        <v>295</v>
      </c>
      <c r="M87" s="7">
        <v>720</v>
      </c>
      <c r="N87" s="7">
        <v>2.6</v>
      </c>
      <c r="O87" s="7">
        <v>15</v>
      </c>
      <c r="P87" s="7">
        <v>4.7</v>
      </c>
      <c r="Q87" s="7">
        <v>2500</v>
      </c>
    </row>
    <row r="88" spans="1:17" x14ac:dyDescent="0.25">
      <c r="C88" s="8" t="s">
        <v>296</v>
      </c>
      <c r="D88" s="7">
        <v>680</v>
      </c>
      <c r="E88" s="7">
        <v>3.4</v>
      </c>
      <c r="G88" s="8" t="s">
        <v>296</v>
      </c>
      <c r="H88" s="7">
        <v>680</v>
      </c>
      <c r="I88" s="7">
        <v>3</v>
      </c>
      <c r="J88" s="7">
        <f>IF(Table73844[[#This Row],[ระยะทาง]]&gt;999,1000,IF(Table73844[[#This Row],[ระยะทาง]]&gt;800,800,IF(Table73844[[#This Row],[ระยะทาง]]&gt;500,500,0)))</f>
        <v>500</v>
      </c>
      <c r="L88" s="7" t="s">
        <v>297</v>
      </c>
      <c r="M88" s="7">
        <v>600</v>
      </c>
      <c r="N88" s="7">
        <v>2.6</v>
      </c>
      <c r="O88" s="7">
        <v>12</v>
      </c>
      <c r="P88" s="7">
        <v>4.7</v>
      </c>
      <c r="Q88" s="7">
        <v>2500</v>
      </c>
    </row>
    <row r="89" spans="1:17" x14ac:dyDescent="0.25">
      <c r="C89" s="7" t="s">
        <v>298</v>
      </c>
      <c r="D89" s="7">
        <v>1020</v>
      </c>
      <c r="E89" s="7">
        <v>3.3</v>
      </c>
      <c r="G89" s="7" t="s">
        <v>298</v>
      </c>
      <c r="H89" s="7">
        <v>1020</v>
      </c>
      <c r="I89" s="7">
        <v>2.9</v>
      </c>
      <c r="J89" s="7">
        <f>IF(Table73844[[#This Row],[ระยะทาง]]&gt;999,1000,IF(Table73844[[#This Row],[ระยะทาง]]&gt;800,800,IF(Table73844[[#This Row],[ระยะทาง]]&gt;500,500,0)))</f>
        <v>1000</v>
      </c>
      <c r="L89" s="7" t="s">
        <v>299</v>
      </c>
      <c r="M89" s="7">
        <v>1190</v>
      </c>
      <c r="N89" s="7">
        <v>2.6</v>
      </c>
      <c r="O89" s="7">
        <v>28</v>
      </c>
      <c r="P89" s="7">
        <v>4.7</v>
      </c>
      <c r="Q89" s="7">
        <v>3000</v>
      </c>
    </row>
    <row r="90" spans="1:17" x14ac:dyDescent="0.25">
      <c r="C90" s="7" t="s">
        <v>300</v>
      </c>
      <c r="D90" s="7">
        <v>670</v>
      </c>
      <c r="E90" s="7">
        <v>3.4</v>
      </c>
      <c r="G90" s="7" t="s">
        <v>300</v>
      </c>
      <c r="H90" s="7">
        <v>670</v>
      </c>
      <c r="I90" s="7">
        <v>3</v>
      </c>
      <c r="J90" s="7">
        <f>IF(Table73844[[#This Row],[ระยะทาง]]&gt;999,1000,IF(Table73844[[#This Row],[ระยะทาง]]&gt;800,800,IF(Table73844[[#This Row],[ระยะทาง]]&gt;500,500,0)))</f>
        <v>500</v>
      </c>
      <c r="L90" s="7" t="s">
        <v>301</v>
      </c>
      <c r="M90" s="7">
        <v>1100</v>
      </c>
      <c r="N90" s="7">
        <v>2.5</v>
      </c>
      <c r="O90" s="7">
        <v>24</v>
      </c>
      <c r="P90" s="7">
        <v>4.7</v>
      </c>
      <c r="Q90" s="7">
        <v>3000</v>
      </c>
    </row>
    <row r="91" spans="1:17" x14ac:dyDescent="0.25">
      <c r="C91" s="7" t="s">
        <v>302</v>
      </c>
      <c r="D91" s="7">
        <v>630</v>
      </c>
      <c r="E91" s="7">
        <v>3.4</v>
      </c>
      <c r="G91" s="7" t="s">
        <v>302</v>
      </c>
      <c r="H91" s="7">
        <v>630</v>
      </c>
      <c r="I91" s="7">
        <v>3</v>
      </c>
      <c r="J91" s="7">
        <f>IF(Table73844[[#This Row],[ระยะทาง]]&gt;999,1000,IF(Table73844[[#This Row],[ระยะทาง]]&gt;800,800,IF(Table73844[[#This Row],[ระยะทาง]]&gt;500,500,0)))</f>
        <v>500</v>
      </c>
      <c r="L91" s="7" t="s">
        <v>303</v>
      </c>
      <c r="M91" s="7">
        <v>1220</v>
      </c>
      <c r="N91" s="7">
        <v>2.6</v>
      </c>
      <c r="O91" s="7">
        <v>28</v>
      </c>
      <c r="P91" s="7">
        <v>4.7</v>
      </c>
      <c r="Q91" s="7">
        <v>3000</v>
      </c>
    </row>
    <row r="92" spans="1:17" x14ac:dyDescent="0.25">
      <c r="C92" s="7" t="s">
        <v>304</v>
      </c>
      <c r="D92" s="7">
        <v>1450</v>
      </c>
      <c r="E92" s="7">
        <v>3.4</v>
      </c>
      <c r="G92" s="7" t="s">
        <v>304</v>
      </c>
      <c r="H92" s="7">
        <v>1450</v>
      </c>
      <c r="I92" s="7">
        <v>3</v>
      </c>
      <c r="J92" s="7">
        <f>IF(Table73844[[#This Row],[ระยะทาง]]&gt;999,1000,IF(Table73844[[#This Row],[ระยะทาง]]&gt;800,800,IF(Table73844[[#This Row],[ระยะทาง]]&gt;500,500,0)))</f>
        <v>1000</v>
      </c>
      <c r="L92" s="8" t="s">
        <v>305</v>
      </c>
      <c r="M92" s="7">
        <v>1275</v>
      </c>
      <c r="N92" s="7">
        <v>2.6</v>
      </c>
      <c r="O92" s="7">
        <v>28</v>
      </c>
      <c r="P92" s="7">
        <v>4.7</v>
      </c>
      <c r="Q92" s="7">
        <v>3000</v>
      </c>
    </row>
    <row r="93" spans="1:17" x14ac:dyDescent="0.25">
      <c r="C93" s="7" t="s">
        <v>306</v>
      </c>
      <c r="D93" s="7">
        <v>920</v>
      </c>
      <c r="E93" s="7">
        <v>3.3</v>
      </c>
      <c r="G93" s="7" t="s">
        <v>306</v>
      </c>
      <c r="H93" s="7">
        <v>920</v>
      </c>
      <c r="I93" s="7">
        <v>2.9</v>
      </c>
      <c r="J93" s="7">
        <f>IF(Table73844[[#This Row],[ระยะทาง]]&gt;999,1000,IF(Table73844[[#This Row],[ระยะทาง]]&gt;800,800,IF(Table73844[[#This Row],[ระยะทาง]]&gt;500,500,0)))</f>
        <v>800</v>
      </c>
      <c r="L93" s="7" t="s">
        <v>307</v>
      </c>
      <c r="M93" s="7">
        <v>1100</v>
      </c>
      <c r="N93" s="7">
        <v>2.5499999999999998</v>
      </c>
      <c r="O93" s="7">
        <v>25</v>
      </c>
      <c r="P93" s="7">
        <v>4.7</v>
      </c>
      <c r="Q93" s="7">
        <v>3000</v>
      </c>
    </row>
    <row r="94" spans="1:17" x14ac:dyDescent="0.25">
      <c r="C94" s="7" t="s">
        <v>308</v>
      </c>
      <c r="D94" s="7">
        <v>1480</v>
      </c>
      <c r="E94" s="7">
        <v>3.4</v>
      </c>
      <c r="G94" s="7" t="s">
        <v>308</v>
      </c>
      <c r="H94" s="7">
        <v>1480</v>
      </c>
      <c r="I94" s="7">
        <v>3</v>
      </c>
      <c r="J94" s="7">
        <f>IF(Table73844[[#This Row],[ระยะทาง]]&gt;999,1000,IF(Table73844[[#This Row],[ระยะทาง]]&gt;800,800,IF(Table73844[[#This Row],[ระยะทาง]]&gt;500,500,0)))</f>
        <v>1000</v>
      </c>
      <c r="L94" s="7" t="s">
        <v>309</v>
      </c>
      <c r="M94" s="7">
        <v>730</v>
      </c>
      <c r="N94" s="7">
        <v>2.6</v>
      </c>
      <c r="O94" s="7">
        <v>15</v>
      </c>
      <c r="P94" s="7">
        <v>4.7</v>
      </c>
      <c r="Q94" s="7">
        <v>2500</v>
      </c>
    </row>
    <row r="95" spans="1:17" x14ac:dyDescent="0.25">
      <c r="C95" s="7" t="s">
        <v>264</v>
      </c>
      <c r="D95" s="7">
        <v>650</v>
      </c>
      <c r="E95" s="7">
        <v>3.4</v>
      </c>
      <c r="G95" s="7" t="s">
        <v>264</v>
      </c>
      <c r="H95" s="7">
        <v>650</v>
      </c>
      <c r="I95" s="7">
        <v>3</v>
      </c>
      <c r="J95" s="7">
        <f>IF(Table73844[[#This Row],[ระยะทาง]]&gt;999,1000,IF(Table73844[[#This Row],[ระยะทาง]]&gt;800,800,IF(Table73844[[#This Row],[ระยะทาง]]&gt;500,500,0)))</f>
        <v>500</v>
      </c>
      <c r="L95" s="7" t="s">
        <v>310</v>
      </c>
      <c r="M95" s="7">
        <v>610</v>
      </c>
      <c r="N95" s="7">
        <v>2.6</v>
      </c>
      <c r="O95" s="7">
        <v>12</v>
      </c>
      <c r="P95" s="7">
        <v>4.7</v>
      </c>
      <c r="Q95" s="7">
        <v>2500</v>
      </c>
    </row>
    <row r="96" spans="1:17" x14ac:dyDescent="0.25">
      <c r="C96" s="8" t="s">
        <v>311</v>
      </c>
      <c r="D96" s="7">
        <v>1480</v>
      </c>
      <c r="E96" s="7">
        <v>3.4</v>
      </c>
      <c r="G96" s="8" t="s">
        <v>311</v>
      </c>
      <c r="H96" s="7">
        <v>1480</v>
      </c>
      <c r="I96" s="7">
        <v>3</v>
      </c>
      <c r="J96" s="7">
        <f>IF(Table73844[[#This Row],[ระยะทาง]]&gt;999,1000,IF(Table73844[[#This Row],[ระยะทาง]]&gt;800,800,IF(Table73844[[#This Row],[ระยะทาง]]&gt;500,500,0)))</f>
        <v>1000</v>
      </c>
      <c r="L96" s="8" t="s">
        <v>312</v>
      </c>
      <c r="M96" s="7">
        <v>245</v>
      </c>
      <c r="N96" s="7">
        <v>2.6</v>
      </c>
      <c r="O96" s="7">
        <v>6</v>
      </c>
      <c r="P96" s="7">
        <v>4.7</v>
      </c>
      <c r="Q96" s="7">
        <v>1500</v>
      </c>
    </row>
    <row r="97" spans="3:17" x14ac:dyDescent="0.25">
      <c r="C97" s="8" t="s">
        <v>313</v>
      </c>
      <c r="D97" s="7">
        <v>1180</v>
      </c>
      <c r="E97" s="7">
        <v>3.4</v>
      </c>
      <c r="G97" s="8" t="s">
        <v>313</v>
      </c>
      <c r="H97" s="7">
        <v>1180</v>
      </c>
      <c r="I97" s="7">
        <v>3</v>
      </c>
      <c r="J97" s="7">
        <f>IF(Table73844[[#This Row],[ระยะทาง]]&gt;999,1000,IF(Table73844[[#This Row],[ระยะทาง]]&gt;800,800,IF(Table73844[[#This Row],[ระยะทาง]]&gt;500,500,0)))</f>
        <v>1000</v>
      </c>
      <c r="L97" s="7" t="s">
        <v>314</v>
      </c>
      <c r="M97" s="7">
        <v>1860</v>
      </c>
      <c r="N97" s="7">
        <v>2.6</v>
      </c>
      <c r="Q97" s="7">
        <v>5000</v>
      </c>
    </row>
    <row r="98" spans="3:17" x14ac:dyDescent="0.25">
      <c r="C98" s="7" t="s">
        <v>315</v>
      </c>
      <c r="D98" s="7">
        <v>740</v>
      </c>
      <c r="E98" s="7">
        <v>3.4</v>
      </c>
      <c r="G98" s="7" t="s">
        <v>315</v>
      </c>
      <c r="H98" s="7">
        <v>740</v>
      </c>
      <c r="I98" s="7">
        <v>3</v>
      </c>
      <c r="J98" s="7">
        <f>IF(Table73844[[#This Row],[ระยะทาง]]&gt;999,1000,IF(Table73844[[#This Row],[ระยะทาง]]&gt;800,800,IF(Table73844[[#This Row],[ระยะทาง]]&gt;500,500,0)))</f>
        <v>500</v>
      </c>
      <c r="L98" s="7" t="s">
        <v>316</v>
      </c>
      <c r="M98" s="7">
        <v>940</v>
      </c>
      <c r="N98" s="7">
        <v>2.5</v>
      </c>
      <c r="P98" s="7">
        <v>4.7</v>
      </c>
      <c r="Q98" s="7">
        <v>3000</v>
      </c>
    </row>
    <row r="99" spans="3:17" x14ac:dyDescent="0.25">
      <c r="C99" s="7" t="s">
        <v>269</v>
      </c>
      <c r="D99" s="7">
        <v>120</v>
      </c>
      <c r="E99" s="7">
        <v>3.4</v>
      </c>
      <c r="G99" s="7" t="s">
        <v>269</v>
      </c>
      <c r="H99" s="7">
        <v>120</v>
      </c>
      <c r="I99" s="7">
        <v>3</v>
      </c>
      <c r="J99" s="7">
        <f>IF(Table73844[[#This Row],[ระยะทาง]]&gt;999,1000,IF(Table73844[[#This Row],[ระยะทาง]]&gt;800,800,IF(Table73844[[#This Row],[ระยะทาง]]&gt;500,500,0)))</f>
        <v>0</v>
      </c>
      <c r="L99" s="7" t="s">
        <v>317</v>
      </c>
      <c r="M99" s="7">
        <v>900</v>
      </c>
      <c r="N99" s="7">
        <v>2.5</v>
      </c>
      <c r="P99" s="7">
        <v>4.7</v>
      </c>
      <c r="Q99" s="7">
        <v>3000</v>
      </c>
    </row>
    <row r="100" spans="3:17" x14ac:dyDescent="0.25">
      <c r="C100" s="8" t="s">
        <v>318</v>
      </c>
      <c r="D100" s="7">
        <v>700</v>
      </c>
      <c r="E100" s="7">
        <v>3.4</v>
      </c>
      <c r="G100" s="7" t="s">
        <v>319</v>
      </c>
      <c r="H100" s="7">
        <v>670</v>
      </c>
      <c r="I100" s="7">
        <v>3</v>
      </c>
      <c r="J100" s="7">
        <f>IF(Table73844[[#This Row],[ระยะทาง]]&gt;999,1000,IF(Table73844[[#This Row],[ระยะทาง]]&gt;800,800,IF(Table73844[[#This Row],[ระยะทาง]]&gt;500,500,0)))</f>
        <v>500</v>
      </c>
      <c r="L100" s="8" t="s">
        <v>320</v>
      </c>
      <c r="M100" s="7">
        <v>1530</v>
      </c>
      <c r="N100" s="7">
        <v>2.6</v>
      </c>
      <c r="O100" s="7">
        <v>35</v>
      </c>
      <c r="P100" s="7">
        <v>4.7</v>
      </c>
      <c r="Q100" s="7">
        <v>4000</v>
      </c>
    </row>
    <row r="101" spans="3:17" x14ac:dyDescent="0.25">
      <c r="C101" s="7" t="s">
        <v>319</v>
      </c>
      <c r="D101" s="7">
        <v>670</v>
      </c>
      <c r="E101" s="7">
        <v>3.4</v>
      </c>
      <c r="G101" s="7" t="s">
        <v>321</v>
      </c>
      <c r="H101" s="7">
        <v>690</v>
      </c>
      <c r="I101" s="7">
        <v>3</v>
      </c>
      <c r="J101" s="7">
        <f>IF(Table73844[[#This Row],[ระยะทาง]]&gt;999,1000,IF(Table73844[[#This Row],[ระยะทาง]]&gt;800,800,IF(Table73844[[#This Row],[ระยะทาง]]&gt;500,500,0)))</f>
        <v>500</v>
      </c>
      <c r="L101" s="7" t="s">
        <v>322</v>
      </c>
      <c r="M101" s="7">
        <v>800</v>
      </c>
      <c r="N101" s="7">
        <v>2.6</v>
      </c>
      <c r="O101" s="7">
        <v>17</v>
      </c>
      <c r="P101" s="7">
        <v>4.7</v>
      </c>
      <c r="Q101" s="7">
        <v>2500</v>
      </c>
    </row>
    <row r="102" spans="3:17" x14ac:dyDescent="0.25">
      <c r="C102" s="7" t="s">
        <v>321</v>
      </c>
      <c r="D102" s="7">
        <v>690</v>
      </c>
      <c r="E102" s="7">
        <v>3.4</v>
      </c>
      <c r="G102" s="7" t="s">
        <v>323</v>
      </c>
      <c r="H102" s="7">
        <v>950</v>
      </c>
      <c r="I102" s="7">
        <v>2.9</v>
      </c>
      <c r="J102" s="7">
        <f>IF(Table73844[[#This Row],[ระยะทาง]]&gt;999,1000,IF(Table73844[[#This Row],[ระยะทาง]]&gt;800,800,IF(Table73844[[#This Row],[ระยะทาง]]&gt;500,500,0)))</f>
        <v>800</v>
      </c>
      <c r="L102" s="8" t="s">
        <v>324</v>
      </c>
      <c r="M102" s="7">
        <v>1400</v>
      </c>
      <c r="N102" s="7">
        <v>2.6</v>
      </c>
      <c r="O102" s="7">
        <v>29</v>
      </c>
      <c r="P102" s="7">
        <v>4.7</v>
      </c>
      <c r="Q102" s="7">
        <v>3500</v>
      </c>
    </row>
    <row r="103" spans="3:17" x14ac:dyDescent="0.25">
      <c r="C103" s="7" t="s">
        <v>323</v>
      </c>
      <c r="D103" s="7">
        <v>950</v>
      </c>
      <c r="E103" s="7">
        <v>3.3</v>
      </c>
      <c r="G103" s="7" t="s">
        <v>325</v>
      </c>
      <c r="H103" s="7">
        <v>970</v>
      </c>
      <c r="I103" s="7">
        <v>3</v>
      </c>
      <c r="J103" s="7">
        <f>IF(Table73844[[#This Row],[ระยะทาง]]&gt;999,1000,IF(Table73844[[#This Row],[ระยะทาง]]&gt;800,800,IF(Table73844[[#This Row],[ระยะทาง]]&gt;500,500,0)))</f>
        <v>800</v>
      </c>
      <c r="L103" s="8" t="s">
        <v>326</v>
      </c>
      <c r="M103" s="7">
        <v>620</v>
      </c>
      <c r="N103" s="7">
        <v>2.6</v>
      </c>
      <c r="O103" s="7">
        <v>12</v>
      </c>
      <c r="P103" s="7">
        <v>4.7</v>
      </c>
      <c r="Q103" s="7">
        <v>2500</v>
      </c>
    </row>
    <row r="104" spans="3:17" x14ac:dyDescent="0.25">
      <c r="C104" s="7" t="s">
        <v>325</v>
      </c>
      <c r="D104" s="7">
        <v>970</v>
      </c>
      <c r="E104" s="7">
        <v>3.4</v>
      </c>
      <c r="G104" s="7" t="s">
        <v>327</v>
      </c>
      <c r="H104" s="7">
        <v>1010</v>
      </c>
      <c r="I104" s="7">
        <v>2.9</v>
      </c>
      <c r="J104" s="7">
        <f>IF(Table73844[[#This Row],[ระยะทาง]]&gt;999,1000,IF(Table73844[[#This Row],[ระยะทาง]]&gt;800,800,IF(Table73844[[#This Row],[ระยะทาง]]&gt;500,500,0)))</f>
        <v>1000</v>
      </c>
      <c r="L104" s="7" t="s">
        <v>328</v>
      </c>
      <c r="M104" s="7">
        <v>1320</v>
      </c>
      <c r="N104" s="7">
        <v>2.6</v>
      </c>
      <c r="O104" s="7">
        <v>29</v>
      </c>
      <c r="P104" s="7">
        <v>4.7</v>
      </c>
      <c r="Q104" s="7">
        <v>3500</v>
      </c>
    </row>
    <row r="105" spans="3:17" x14ac:dyDescent="0.25">
      <c r="C105" s="7" t="s">
        <v>327</v>
      </c>
      <c r="D105" s="7">
        <v>1010</v>
      </c>
      <c r="E105" s="7">
        <v>3.3</v>
      </c>
      <c r="G105" s="7" t="s">
        <v>329</v>
      </c>
      <c r="H105" s="7">
        <v>1730</v>
      </c>
      <c r="I105" s="7">
        <v>3</v>
      </c>
      <c r="J105" s="7">
        <f>IF(Table73844[[#This Row],[ระยะทาง]]&gt;999,1000,IF(Table73844[[#This Row],[ระยะทาง]]&gt;800,800,IF(Table73844[[#This Row],[ระยะทาง]]&gt;500,500,0)))</f>
        <v>1000</v>
      </c>
      <c r="L105" s="8" t="s">
        <v>330</v>
      </c>
      <c r="M105" s="7">
        <v>540</v>
      </c>
      <c r="N105" s="7">
        <v>2.6</v>
      </c>
      <c r="O105" s="7">
        <v>9</v>
      </c>
      <c r="P105" s="7">
        <v>4.7</v>
      </c>
      <c r="Q105" s="7">
        <v>2500</v>
      </c>
    </row>
    <row r="106" spans="3:17" x14ac:dyDescent="0.25">
      <c r="C106" s="7" t="s">
        <v>329</v>
      </c>
      <c r="D106" s="7">
        <v>1730</v>
      </c>
      <c r="E106" s="7">
        <v>3.4</v>
      </c>
      <c r="G106" s="7" t="s">
        <v>331</v>
      </c>
      <c r="H106" s="7">
        <v>950</v>
      </c>
      <c r="I106" s="7">
        <v>2.9</v>
      </c>
      <c r="J106" s="7">
        <f>IF(Table73844[[#This Row],[ระยะทาง]]&gt;999,1000,IF(Table73844[[#This Row],[ระยะทาง]]&gt;800,800,IF(Table73844[[#This Row],[ระยะทาง]]&gt;500,500,0)))</f>
        <v>800</v>
      </c>
      <c r="L106" s="7" t="s">
        <v>332</v>
      </c>
      <c r="M106" s="7">
        <v>1200</v>
      </c>
      <c r="N106" s="7">
        <v>2.6</v>
      </c>
      <c r="O106" s="7">
        <v>26</v>
      </c>
      <c r="P106" s="7">
        <v>4.7</v>
      </c>
      <c r="Q106" s="7">
        <v>3500</v>
      </c>
    </row>
    <row r="107" spans="3:17" x14ac:dyDescent="0.25">
      <c r="C107" s="7" t="s">
        <v>331</v>
      </c>
      <c r="D107" s="7">
        <v>950</v>
      </c>
      <c r="E107" s="7">
        <v>3.3</v>
      </c>
      <c r="G107" s="7" t="s">
        <v>333</v>
      </c>
      <c r="H107" s="7">
        <v>630</v>
      </c>
      <c r="I107" s="7">
        <v>3</v>
      </c>
      <c r="J107" s="7">
        <f>IF(Table73844[[#This Row],[ระยะทาง]]&gt;999,1000,IF(Table73844[[#This Row],[ระยะทาง]]&gt;800,800,IF(Table73844[[#This Row],[ระยะทาง]]&gt;500,500,0)))</f>
        <v>500</v>
      </c>
      <c r="L107" s="8" t="s">
        <v>334</v>
      </c>
      <c r="M107" s="7">
        <v>500</v>
      </c>
      <c r="N107" s="7">
        <v>2.6</v>
      </c>
      <c r="O107" s="7">
        <v>10</v>
      </c>
      <c r="P107" s="7">
        <v>4.7</v>
      </c>
      <c r="Q107" s="7">
        <v>2500</v>
      </c>
    </row>
    <row r="108" spans="3:17" x14ac:dyDescent="0.25">
      <c r="C108" s="7" t="s">
        <v>333</v>
      </c>
      <c r="D108" s="7">
        <v>630</v>
      </c>
      <c r="E108" s="7">
        <v>3.4</v>
      </c>
      <c r="G108" s="7" t="s">
        <v>335</v>
      </c>
      <c r="H108" s="7">
        <v>1480</v>
      </c>
      <c r="I108" s="7">
        <v>3</v>
      </c>
      <c r="J108" s="7">
        <f>IF(Table73844[[#This Row],[ระยะทาง]]&gt;999,1000,IF(Table73844[[#This Row],[ระยะทาง]]&gt;800,800,IF(Table73844[[#This Row],[ระยะทาง]]&gt;500,500,0)))</f>
        <v>1000</v>
      </c>
      <c r="L108" s="7" t="s">
        <v>336</v>
      </c>
      <c r="M108" s="7">
        <v>670</v>
      </c>
      <c r="N108" s="7">
        <v>2.6</v>
      </c>
      <c r="O108" s="7">
        <v>12</v>
      </c>
      <c r="P108" s="7">
        <v>4.7</v>
      </c>
      <c r="Q108" s="7">
        <v>2500</v>
      </c>
    </row>
    <row r="109" spans="3:17" x14ac:dyDescent="0.25">
      <c r="C109" s="7" t="s">
        <v>335</v>
      </c>
      <c r="D109" s="7">
        <v>1480</v>
      </c>
      <c r="E109" s="7">
        <v>3.4</v>
      </c>
      <c r="G109" s="7" t="s">
        <v>337</v>
      </c>
      <c r="H109" s="7">
        <v>670</v>
      </c>
      <c r="I109" s="7">
        <v>3</v>
      </c>
      <c r="J109" s="7">
        <f>IF(Table73844[[#This Row],[ระยะทาง]]&gt;999,1000,IF(Table73844[[#This Row],[ระยะทาง]]&gt;800,800,IF(Table73844[[#This Row],[ระยะทาง]]&gt;500,500,0)))</f>
        <v>500</v>
      </c>
      <c r="L109" s="7" t="s">
        <v>338</v>
      </c>
      <c r="M109" s="7">
        <v>1010</v>
      </c>
      <c r="N109" s="7">
        <v>2.5499999999999998</v>
      </c>
      <c r="O109" s="7">
        <v>22</v>
      </c>
      <c r="P109" s="7">
        <v>4.7</v>
      </c>
      <c r="Q109" s="7">
        <v>3000</v>
      </c>
    </row>
    <row r="110" spans="3:17" x14ac:dyDescent="0.25">
      <c r="C110" s="7" t="s">
        <v>337</v>
      </c>
      <c r="D110" s="7">
        <v>670</v>
      </c>
      <c r="E110" s="7">
        <v>3.4</v>
      </c>
      <c r="G110" s="7" t="s">
        <v>339</v>
      </c>
      <c r="H110" s="7">
        <v>640</v>
      </c>
      <c r="I110" s="7">
        <v>3</v>
      </c>
      <c r="J110" s="7">
        <f>IF(Table73844[[#This Row],[ระยะทาง]]&gt;999,1000,IF(Table73844[[#This Row],[ระยะทาง]]&gt;800,800,IF(Table73844[[#This Row],[ระยะทาง]]&gt;500,500,0)))</f>
        <v>500</v>
      </c>
      <c r="L110" s="7" t="s">
        <v>340</v>
      </c>
      <c r="M110" s="7">
        <v>850</v>
      </c>
      <c r="N110" s="7">
        <v>2.6</v>
      </c>
      <c r="O110" s="7">
        <v>18</v>
      </c>
      <c r="P110" s="7">
        <v>4.7</v>
      </c>
      <c r="Q110" s="7">
        <v>2500</v>
      </c>
    </row>
    <row r="111" spans="3:17" x14ac:dyDescent="0.25">
      <c r="C111" s="7" t="s">
        <v>339</v>
      </c>
      <c r="D111" s="7">
        <v>640</v>
      </c>
      <c r="E111" s="7">
        <v>3.4</v>
      </c>
      <c r="G111" s="7" t="s">
        <v>341</v>
      </c>
      <c r="H111" s="7">
        <v>1010</v>
      </c>
      <c r="I111" s="7">
        <v>2.9</v>
      </c>
      <c r="J111" s="7">
        <f>IF(Table73844[[#This Row],[ระยะทาง]]&gt;999,1000,IF(Table73844[[#This Row],[ระยะทาง]]&gt;800,800,IF(Table73844[[#This Row],[ระยะทาง]]&gt;500,500,0)))</f>
        <v>1000</v>
      </c>
      <c r="L111" s="7" t="s">
        <v>342</v>
      </c>
      <c r="M111" s="7">
        <v>230</v>
      </c>
      <c r="N111" s="7">
        <v>2.6</v>
      </c>
      <c r="O111" s="7">
        <v>7</v>
      </c>
      <c r="P111" s="7">
        <v>4.7</v>
      </c>
    </row>
    <row r="112" spans="3:17" x14ac:dyDescent="0.25">
      <c r="C112" s="7" t="s">
        <v>341</v>
      </c>
      <c r="D112" s="7">
        <v>1010</v>
      </c>
      <c r="E112" s="7">
        <v>3.3</v>
      </c>
      <c r="G112" s="8" t="s">
        <v>343</v>
      </c>
      <c r="H112" s="7">
        <v>1480</v>
      </c>
      <c r="I112" s="7">
        <v>3</v>
      </c>
      <c r="J112" s="7">
        <f>IF(Table73844[[#This Row],[ระยะทาง]]&gt;999,1000,IF(Table73844[[#This Row],[ระยะทาง]]&gt;800,800,IF(Table73844[[#This Row],[ระยะทาง]]&gt;500,500,0)))</f>
        <v>1000</v>
      </c>
      <c r="L112" s="7" t="s">
        <v>344</v>
      </c>
      <c r="M112" s="7">
        <v>720</v>
      </c>
      <c r="N112" s="7">
        <v>2.6</v>
      </c>
      <c r="O112" s="7">
        <v>15</v>
      </c>
      <c r="P112" s="7">
        <v>4.7</v>
      </c>
      <c r="Q112" s="7">
        <v>2500</v>
      </c>
    </row>
    <row r="113" spans="3:17" x14ac:dyDescent="0.25">
      <c r="C113" s="8" t="s">
        <v>343</v>
      </c>
      <c r="D113" s="7">
        <v>1480</v>
      </c>
      <c r="E113" s="7">
        <v>3.4</v>
      </c>
      <c r="G113" s="8" t="s">
        <v>345</v>
      </c>
      <c r="H113" s="7">
        <v>670</v>
      </c>
      <c r="I113" s="7">
        <v>3</v>
      </c>
      <c r="J113" s="7">
        <f>IF(Table73844[[#This Row],[ระยะทาง]]&gt;999,1000,IF(Table73844[[#This Row],[ระยะทาง]]&gt;800,800,IF(Table73844[[#This Row],[ระยะทาง]]&gt;500,500,0)))</f>
        <v>500</v>
      </c>
      <c r="L113" s="7" t="s">
        <v>346</v>
      </c>
      <c r="M113" s="7">
        <v>800</v>
      </c>
      <c r="N113" s="7">
        <v>2.6</v>
      </c>
      <c r="O113" s="7">
        <v>17</v>
      </c>
      <c r="P113" s="7">
        <v>4.7</v>
      </c>
      <c r="Q113" s="7">
        <v>2500</v>
      </c>
    </row>
    <row r="114" spans="3:17" x14ac:dyDescent="0.25">
      <c r="C114" s="8" t="s">
        <v>345</v>
      </c>
      <c r="D114" s="7">
        <v>670</v>
      </c>
      <c r="E114" s="7">
        <v>3.4</v>
      </c>
      <c r="G114" s="8" t="s">
        <v>347</v>
      </c>
      <c r="H114" s="7">
        <v>1480</v>
      </c>
      <c r="I114" s="7">
        <v>3</v>
      </c>
      <c r="J114" s="7">
        <f>IF(Table73844[[#This Row],[ระยะทาง]]&gt;999,1000,IF(Table73844[[#This Row],[ระยะทาง]]&gt;800,800,IF(Table73844[[#This Row],[ระยะทาง]]&gt;500,500,0)))</f>
        <v>1000</v>
      </c>
      <c r="L114" s="7" t="s">
        <v>348</v>
      </c>
      <c r="M114" s="7">
        <v>680</v>
      </c>
      <c r="N114" s="7">
        <v>2.6</v>
      </c>
      <c r="O114" s="7">
        <v>14</v>
      </c>
      <c r="P114" s="7">
        <v>4.7</v>
      </c>
      <c r="Q114" s="7">
        <v>2500</v>
      </c>
    </row>
    <row r="115" spans="3:17" x14ac:dyDescent="0.25">
      <c r="C115" s="8" t="s">
        <v>347</v>
      </c>
      <c r="D115" s="7">
        <v>1480</v>
      </c>
      <c r="E115" s="7">
        <v>3.4</v>
      </c>
      <c r="G115" s="7" t="s">
        <v>349</v>
      </c>
      <c r="H115" s="7">
        <v>1500</v>
      </c>
      <c r="I115" s="7">
        <v>3</v>
      </c>
      <c r="J115" s="7">
        <f>IF(Table73844[[#This Row],[ระยะทาง]]&gt;999,1000,IF(Table73844[[#This Row],[ระยะทาง]]&gt;800,800,IF(Table73844[[#This Row],[ระยะทาง]]&gt;500,500,0)))</f>
        <v>1000</v>
      </c>
      <c r="L115" s="10" t="s">
        <v>350</v>
      </c>
      <c r="M115" s="7">
        <v>0</v>
      </c>
      <c r="N115" s="7">
        <v>2.6</v>
      </c>
      <c r="Q115" s="7">
        <v>2500</v>
      </c>
    </row>
    <row r="116" spans="3:17" x14ac:dyDescent="0.25">
      <c r="C116" s="7" t="s">
        <v>349</v>
      </c>
      <c r="D116" s="7">
        <v>1500</v>
      </c>
      <c r="E116" s="7">
        <v>3.4</v>
      </c>
      <c r="G116" s="7" t="s">
        <v>351</v>
      </c>
      <c r="H116" s="7">
        <v>1020</v>
      </c>
      <c r="I116" s="7">
        <v>2.9</v>
      </c>
      <c r="J116" s="7">
        <f>IF(Table73844[[#This Row],[ระยะทาง]]&gt;999,1000,IF(Table73844[[#This Row],[ระยะทาง]]&gt;800,800,IF(Table73844[[#This Row],[ระยะทาง]]&gt;500,500,0)))</f>
        <v>1000</v>
      </c>
      <c r="L116" s="7" t="s">
        <v>352</v>
      </c>
      <c r="M116" s="7">
        <v>0</v>
      </c>
      <c r="N116" s="7">
        <v>2.6</v>
      </c>
      <c r="O116" s="7">
        <v>0</v>
      </c>
      <c r="P116" s="7">
        <v>4.7</v>
      </c>
      <c r="Q116" s="7">
        <v>0</v>
      </c>
    </row>
    <row r="117" spans="3:17" x14ac:dyDescent="0.25">
      <c r="C117" s="7" t="s">
        <v>351</v>
      </c>
      <c r="D117" s="7">
        <v>1020</v>
      </c>
      <c r="E117" s="7">
        <v>3.3</v>
      </c>
      <c r="G117" s="7" t="s">
        <v>353</v>
      </c>
      <c r="H117" s="7">
        <v>770</v>
      </c>
      <c r="I117" s="7">
        <v>3</v>
      </c>
      <c r="J117" s="7">
        <f>IF(Table73844[[#This Row],[ระยะทาง]]&gt;999,1000,IF(Table73844[[#This Row],[ระยะทาง]]&gt;800,800,IF(Table73844[[#This Row],[ระยะทาง]]&gt;500,500,0)))</f>
        <v>500</v>
      </c>
      <c r="L117" s="7" t="s">
        <v>354</v>
      </c>
      <c r="M117" s="7">
        <v>980</v>
      </c>
      <c r="N117" s="7">
        <v>2.5</v>
      </c>
      <c r="Q117" s="7">
        <v>3000</v>
      </c>
    </row>
    <row r="118" spans="3:17" x14ac:dyDescent="0.25">
      <c r="C118" s="7" t="s">
        <v>353</v>
      </c>
      <c r="D118" s="7">
        <v>770</v>
      </c>
      <c r="E118" s="7">
        <v>3.4</v>
      </c>
      <c r="G118" s="7" t="s">
        <v>355</v>
      </c>
      <c r="H118" s="7">
        <v>600</v>
      </c>
      <c r="I118" s="7">
        <v>3</v>
      </c>
      <c r="J118" s="7">
        <f>IF(Table73844[[#This Row],[ระยะทาง]]&gt;999,1000,IF(Table73844[[#This Row],[ระยะทาง]]&gt;800,800,IF(Table73844[[#This Row],[ระยะทาง]]&gt;500,500,0)))</f>
        <v>500</v>
      </c>
      <c r="L118" s="8" t="s">
        <v>356</v>
      </c>
      <c r="M118" s="7">
        <v>1240</v>
      </c>
      <c r="N118" s="7">
        <v>2.6</v>
      </c>
      <c r="O118" s="7">
        <v>29</v>
      </c>
      <c r="P118" s="7">
        <v>4.7</v>
      </c>
      <c r="Q118" s="7">
        <v>3000</v>
      </c>
    </row>
    <row r="119" spans="3:17" x14ac:dyDescent="0.25">
      <c r="C119" s="7" t="s">
        <v>355</v>
      </c>
      <c r="D119" s="7">
        <v>600</v>
      </c>
      <c r="E119" s="7">
        <v>3.4</v>
      </c>
      <c r="G119" s="7" t="s">
        <v>357</v>
      </c>
      <c r="H119" s="7">
        <v>720</v>
      </c>
      <c r="I119" s="7">
        <v>3</v>
      </c>
      <c r="J119" s="7">
        <f>IF(Table73844[[#This Row],[ระยะทาง]]&gt;999,1000,IF(Table73844[[#This Row],[ระยะทาง]]&gt;800,800,IF(Table73844[[#This Row],[ระยะทาง]]&gt;500,500,0)))</f>
        <v>500</v>
      </c>
      <c r="L119" s="7" t="s">
        <v>358</v>
      </c>
      <c r="M119" s="7">
        <v>1120</v>
      </c>
      <c r="N119" s="7">
        <v>2.6</v>
      </c>
      <c r="O119" s="7">
        <v>26</v>
      </c>
      <c r="P119" s="7">
        <v>4.7</v>
      </c>
      <c r="Q119" s="7">
        <v>3000</v>
      </c>
    </row>
    <row r="120" spans="3:17" x14ac:dyDescent="0.25">
      <c r="C120" s="7" t="s">
        <v>357</v>
      </c>
      <c r="D120" s="7">
        <v>720</v>
      </c>
      <c r="E120" s="7">
        <v>3.4</v>
      </c>
      <c r="G120" s="7" t="s">
        <v>359</v>
      </c>
      <c r="H120" s="7">
        <v>980</v>
      </c>
      <c r="I120" s="7">
        <v>2.9</v>
      </c>
      <c r="J120" s="7">
        <f>IF(Table73844[[#This Row],[ระยะทาง]]&gt;999,1000,IF(Table73844[[#This Row],[ระยะทาง]]&gt;800,800,IF(Table73844[[#This Row],[ระยะทาง]]&gt;500,500,0)))</f>
        <v>800</v>
      </c>
    </row>
    <row r="121" spans="3:17" x14ac:dyDescent="0.25">
      <c r="C121" s="7" t="s">
        <v>359</v>
      </c>
      <c r="D121" s="7">
        <v>980</v>
      </c>
      <c r="E121" s="7">
        <v>3.3</v>
      </c>
      <c r="G121" s="7" t="s">
        <v>360</v>
      </c>
      <c r="H121" s="7">
        <v>1010</v>
      </c>
      <c r="I121" s="7">
        <v>2.9</v>
      </c>
      <c r="J121" s="7">
        <f>IF(Table73844[[#This Row],[ระยะทาง]]&gt;999,1000,IF(Table73844[[#This Row],[ระยะทาง]]&gt;800,800,IF(Table73844[[#This Row],[ระยะทาง]]&gt;500,500,0)))</f>
        <v>1000</v>
      </c>
    </row>
    <row r="122" spans="3:17" x14ac:dyDescent="0.25">
      <c r="C122" s="7" t="s">
        <v>360</v>
      </c>
      <c r="D122" s="7">
        <v>1010</v>
      </c>
      <c r="E122" s="7">
        <v>3.3</v>
      </c>
      <c r="G122" s="7" t="s">
        <v>361</v>
      </c>
      <c r="H122" s="7">
        <v>720</v>
      </c>
      <c r="I122" s="7">
        <v>3</v>
      </c>
      <c r="J122" s="7">
        <f>IF(Table73844[[#This Row],[ระยะทาง]]&gt;999,1000,IF(Table73844[[#This Row],[ระยะทาง]]&gt;800,800,IF(Table73844[[#This Row],[ระยะทาง]]&gt;500,500,0)))</f>
        <v>500</v>
      </c>
    </row>
    <row r="123" spans="3:17" x14ac:dyDescent="0.25">
      <c r="C123" s="7" t="s">
        <v>361</v>
      </c>
      <c r="D123" s="7">
        <v>720</v>
      </c>
      <c r="E123" s="7">
        <v>3.4</v>
      </c>
      <c r="G123" s="7" t="s">
        <v>362</v>
      </c>
      <c r="H123" s="7">
        <v>610</v>
      </c>
      <c r="I123" s="7">
        <v>3</v>
      </c>
      <c r="J123" s="7">
        <f>IF(Table73844[[#This Row],[ระยะทาง]]&gt;999,1000,IF(Table73844[[#This Row],[ระยะทาง]]&gt;800,800,IF(Table73844[[#This Row],[ระยะทาง]]&gt;500,500,0)))</f>
        <v>500</v>
      </c>
    </row>
    <row r="124" spans="3:17" x14ac:dyDescent="0.25">
      <c r="C124" s="7" t="s">
        <v>362</v>
      </c>
      <c r="D124" s="7">
        <v>610</v>
      </c>
      <c r="E124" s="7">
        <v>3.4</v>
      </c>
      <c r="G124" s="7" t="s">
        <v>363</v>
      </c>
      <c r="H124" s="7">
        <v>1740</v>
      </c>
      <c r="I124" s="7">
        <v>3</v>
      </c>
      <c r="J124" s="7">
        <f>IF(Table73844[[#This Row],[ระยะทาง]]&gt;999,1000,IF(Table73844[[#This Row],[ระยะทาง]]&gt;800,800,IF(Table73844[[#This Row],[ระยะทาง]]&gt;500,500,0)))</f>
        <v>1000</v>
      </c>
    </row>
    <row r="125" spans="3:17" x14ac:dyDescent="0.25">
      <c r="C125" s="7" t="s">
        <v>363</v>
      </c>
      <c r="D125" s="7">
        <v>1740</v>
      </c>
      <c r="E125" s="7">
        <v>3.4</v>
      </c>
      <c r="G125" s="7" t="s">
        <v>364</v>
      </c>
      <c r="H125" s="7">
        <v>1030</v>
      </c>
      <c r="I125" s="7">
        <v>2.9</v>
      </c>
      <c r="J125" s="7">
        <f>IF(Table73844[[#This Row],[ระยะทาง]]&gt;999,1000,IF(Table73844[[#This Row],[ระยะทาง]]&gt;800,800,IF(Table73844[[#This Row],[ระยะทาง]]&gt;500,500,0)))</f>
        <v>1000</v>
      </c>
    </row>
    <row r="126" spans="3:17" x14ac:dyDescent="0.25">
      <c r="C126" s="7" t="s">
        <v>364</v>
      </c>
      <c r="D126" s="7">
        <v>1030</v>
      </c>
      <c r="E126" s="7">
        <v>3.4</v>
      </c>
      <c r="G126" s="7" t="s">
        <v>365</v>
      </c>
      <c r="H126" s="7">
        <v>710</v>
      </c>
      <c r="I126" s="7">
        <v>3</v>
      </c>
      <c r="J126" s="7">
        <f>IF(Table73844[[#This Row],[ระยะทาง]]&gt;999,1000,IF(Table73844[[#This Row],[ระยะทาง]]&gt;800,800,IF(Table73844[[#This Row],[ระยะทาง]]&gt;500,500,0)))</f>
        <v>500</v>
      </c>
    </row>
    <row r="127" spans="3:17" x14ac:dyDescent="0.25">
      <c r="C127" s="7" t="s">
        <v>365</v>
      </c>
      <c r="D127" s="7">
        <v>710</v>
      </c>
      <c r="E127" s="7">
        <v>3.4</v>
      </c>
      <c r="G127" s="7" t="s">
        <v>366</v>
      </c>
      <c r="H127" s="7">
        <v>700</v>
      </c>
      <c r="I127" s="7">
        <v>3</v>
      </c>
      <c r="J127" s="7">
        <f>IF(Table73844[[#This Row],[ระยะทาง]]&gt;999,1000,IF(Table73844[[#This Row],[ระยะทาง]]&gt;800,800,IF(Table73844[[#This Row],[ระยะทาง]]&gt;500,500,0)))</f>
        <v>500</v>
      </c>
    </row>
    <row r="128" spans="3:17" x14ac:dyDescent="0.25">
      <c r="C128" s="7" t="s">
        <v>366</v>
      </c>
      <c r="D128" s="7">
        <v>700</v>
      </c>
      <c r="E128" s="7">
        <v>3.4</v>
      </c>
      <c r="G128" s="7" t="s">
        <v>367</v>
      </c>
      <c r="H128" s="7">
        <v>930</v>
      </c>
      <c r="I128" s="7">
        <v>2.9</v>
      </c>
      <c r="J128" s="7">
        <f>IF(Table73844[[#This Row],[ระยะทาง]]&gt;999,1000,IF(Table73844[[#This Row],[ระยะทาง]]&gt;800,800,IF(Table73844[[#This Row],[ระยะทาง]]&gt;500,500,0)))</f>
        <v>800</v>
      </c>
    </row>
    <row r="129" spans="3:10" x14ac:dyDescent="0.25">
      <c r="C129" s="7" t="s">
        <v>367</v>
      </c>
      <c r="D129" s="7">
        <v>930</v>
      </c>
      <c r="E129" s="7">
        <v>3.3</v>
      </c>
      <c r="G129" s="7" t="s">
        <v>368</v>
      </c>
      <c r="H129" s="7">
        <v>680</v>
      </c>
      <c r="I129" s="7">
        <v>3</v>
      </c>
      <c r="J129" s="7">
        <f>IF(Table73844[[#This Row],[ระยะทาง]]&gt;999,1000,IF(Table73844[[#This Row],[ระยะทาง]]&gt;800,800,IF(Table73844[[#This Row],[ระยะทาง]]&gt;500,500,0)))</f>
        <v>500</v>
      </c>
    </row>
    <row r="130" spans="3:10" x14ac:dyDescent="0.25">
      <c r="C130" s="7" t="s">
        <v>368</v>
      </c>
      <c r="D130" s="7">
        <v>680</v>
      </c>
      <c r="E130" s="7">
        <v>3.4</v>
      </c>
      <c r="G130" s="7" t="s">
        <v>369</v>
      </c>
      <c r="H130" s="7">
        <v>1200</v>
      </c>
      <c r="I130" s="7">
        <v>3</v>
      </c>
      <c r="J130" s="7">
        <f>IF(Table73844[[#This Row],[ระยะทาง]]&gt;999,1000,IF(Table73844[[#This Row],[ระยะทาง]]&gt;800,800,IF(Table73844[[#This Row],[ระยะทาง]]&gt;500,500,0)))</f>
        <v>1000</v>
      </c>
    </row>
    <row r="131" spans="3:10" x14ac:dyDescent="0.25">
      <c r="C131" s="7" t="s">
        <v>369</v>
      </c>
      <c r="D131" s="7">
        <v>1200</v>
      </c>
      <c r="E131" s="7">
        <v>3.4</v>
      </c>
      <c r="G131" s="7" t="s">
        <v>370</v>
      </c>
      <c r="H131" s="7">
        <v>730</v>
      </c>
      <c r="I131" s="7">
        <v>3</v>
      </c>
      <c r="J131" s="7">
        <f>IF(Table73844[[#This Row],[ระยะทาง]]&gt;999,1000,IF(Table73844[[#This Row],[ระยะทาง]]&gt;800,800,IF(Table73844[[#This Row],[ระยะทาง]]&gt;500,500,0)))</f>
        <v>500</v>
      </c>
    </row>
    <row r="132" spans="3:10" x14ac:dyDescent="0.25">
      <c r="C132" s="7" t="s">
        <v>370</v>
      </c>
      <c r="D132" s="7">
        <v>730</v>
      </c>
      <c r="E132" s="7">
        <v>3.4</v>
      </c>
      <c r="G132" s="7" t="s">
        <v>371</v>
      </c>
      <c r="H132" s="7">
        <v>680</v>
      </c>
      <c r="I132" s="7">
        <v>3</v>
      </c>
      <c r="J132" s="7">
        <f>IF(Table73844[[#This Row],[ระยะทาง]]&gt;999,1000,IF(Table73844[[#This Row],[ระยะทาง]]&gt;800,800,IF(Table73844[[#This Row],[ระยะทาง]]&gt;500,500,0)))</f>
        <v>500</v>
      </c>
    </row>
    <row r="133" spans="3:10" x14ac:dyDescent="0.25">
      <c r="C133" s="7" t="s">
        <v>371</v>
      </c>
      <c r="D133" s="7">
        <v>680</v>
      </c>
      <c r="E133" s="7">
        <v>3.4</v>
      </c>
      <c r="G133" s="7" t="s">
        <v>372</v>
      </c>
      <c r="H133" s="7">
        <v>0</v>
      </c>
      <c r="I133" s="7">
        <v>3</v>
      </c>
      <c r="J133" s="7">
        <f>IF(Table73844[[#This Row],[ระยะทาง]]&gt;999,1000,IF(Table73844[[#This Row],[ระยะทาง]]&gt;800,800,IF(Table73844[[#This Row],[ระยะทาง]]&gt;500,500,0)))</f>
        <v>0</v>
      </c>
    </row>
    <row r="134" spans="3:10" x14ac:dyDescent="0.25">
      <c r="C134" s="7" t="s">
        <v>372</v>
      </c>
      <c r="D134" s="7">
        <v>0</v>
      </c>
      <c r="E134" s="7">
        <v>3.4</v>
      </c>
      <c r="G134" s="7" t="s">
        <v>373</v>
      </c>
      <c r="H134" s="7">
        <v>1030</v>
      </c>
      <c r="I134" s="7">
        <v>2.9</v>
      </c>
      <c r="J134" s="7">
        <f>IF(Table73844[[#This Row],[ระยะทาง]]&gt;999,1000,IF(Table73844[[#This Row],[ระยะทาง]]&gt;800,800,IF(Table73844[[#This Row],[ระยะทาง]]&gt;500,500,0)))</f>
        <v>1000</v>
      </c>
    </row>
    <row r="135" spans="3:10" x14ac:dyDescent="0.25">
      <c r="C135" s="7" t="s">
        <v>373</v>
      </c>
      <c r="D135" s="7">
        <v>1030</v>
      </c>
      <c r="E135" s="7">
        <v>3.3</v>
      </c>
      <c r="G135" s="7" t="s">
        <v>374</v>
      </c>
      <c r="H135" s="7">
        <v>760</v>
      </c>
      <c r="I135" s="7">
        <v>3</v>
      </c>
      <c r="J135" s="7">
        <f>IF(Table73844[[#This Row],[ระยะทาง]]&gt;999,1000,IF(Table73844[[#This Row],[ระยะทาง]]&gt;800,800,IF(Table73844[[#This Row],[ระยะทาง]]&gt;500,500,0)))</f>
        <v>500</v>
      </c>
    </row>
    <row r="136" spans="3:10" x14ac:dyDescent="0.25">
      <c r="C136" s="7" t="s">
        <v>374</v>
      </c>
      <c r="D136" s="7">
        <v>760</v>
      </c>
      <c r="E136" s="7">
        <v>3.4</v>
      </c>
      <c r="G136" s="7" t="s">
        <v>375</v>
      </c>
      <c r="H136" s="7">
        <v>830</v>
      </c>
      <c r="I136" s="7">
        <v>3</v>
      </c>
      <c r="J136" s="7">
        <f>IF(Table73844[[#This Row],[ระยะทาง]]&gt;999,1000,IF(Table73844[[#This Row],[ระยะทาง]]&gt;800,800,IF(Table73844[[#This Row],[ระยะทาง]]&gt;500,500,0)))</f>
        <v>800</v>
      </c>
    </row>
    <row r="137" spans="3:10" x14ac:dyDescent="0.25">
      <c r="C137" s="7" t="s">
        <v>375</v>
      </c>
      <c r="D137" s="7">
        <v>830</v>
      </c>
      <c r="E137" s="7">
        <v>3.4</v>
      </c>
      <c r="G137" s="8" t="s">
        <v>376</v>
      </c>
      <c r="H137" s="7">
        <v>820</v>
      </c>
      <c r="I137" s="7">
        <v>3</v>
      </c>
      <c r="J137" s="7">
        <f>IF(Table73844[[#This Row],[ระยะทาง]]&gt;999,1000,IF(Table73844[[#This Row],[ระยะทาง]]&gt;800,800,IF(Table73844[[#This Row],[ระยะทาง]]&gt;500,500,0)))</f>
        <v>800</v>
      </c>
    </row>
    <row r="138" spans="3:10" x14ac:dyDescent="0.25">
      <c r="C138" s="8" t="s">
        <v>376</v>
      </c>
      <c r="D138" s="7">
        <v>820</v>
      </c>
      <c r="E138" s="7">
        <v>3.4</v>
      </c>
      <c r="G138" s="7" t="s">
        <v>377</v>
      </c>
      <c r="H138" s="7">
        <v>830</v>
      </c>
      <c r="I138" s="7">
        <v>3</v>
      </c>
      <c r="J138" s="7">
        <f>IF(Table73844[[#This Row],[ระยะทาง]]&gt;999,1000,IF(Table73844[[#This Row],[ระยะทาง]]&gt;800,800,IF(Table73844[[#This Row],[ระยะทาง]]&gt;500,500,0)))</f>
        <v>800</v>
      </c>
    </row>
    <row r="139" spans="3:10" x14ac:dyDescent="0.25">
      <c r="C139" s="7" t="s">
        <v>377</v>
      </c>
      <c r="D139" s="7">
        <v>830</v>
      </c>
      <c r="E139" s="7">
        <v>3.4</v>
      </c>
      <c r="G139" s="8" t="s">
        <v>378</v>
      </c>
      <c r="H139" s="7">
        <v>790</v>
      </c>
      <c r="I139" s="7">
        <v>3</v>
      </c>
      <c r="J139" s="7">
        <f>IF(Table73844[[#This Row],[ระยะทาง]]&gt;999,1000,IF(Table73844[[#This Row],[ระยะทาง]]&gt;800,800,IF(Table73844[[#This Row],[ระยะทาง]]&gt;500,500,0)))</f>
        <v>500</v>
      </c>
    </row>
    <row r="140" spans="3:10" x14ac:dyDescent="0.25">
      <c r="C140" s="8" t="s">
        <v>378</v>
      </c>
      <c r="D140" s="7">
        <v>790</v>
      </c>
      <c r="E140" s="7">
        <v>3.4</v>
      </c>
      <c r="G140" s="7" t="s">
        <v>379</v>
      </c>
      <c r="H140" s="7">
        <v>840</v>
      </c>
      <c r="I140" s="7">
        <v>3</v>
      </c>
      <c r="J140" s="7">
        <f>IF(Table73844[[#This Row],[ระยะทาง]]&gt;999,1000,IF(Table73844[[#This Row],[ระยะทาง]]&gt;800,800,IF(Table73844[[#This Row],[ระยะทาง]]&gt;500,500,0)))</f>
        <v>800</v>
      </c>
    </row>
    <row r="141" spans="3:10" x14ac:dyDescent="0.25">
      <c r="C141" s="7" t="s">
        <v>379</v>
      </c>
      <c r="D141" s="7">
        <v>840</v>
      </c>
      <c r="E141" s="7">
        <v>3.4</v>
      </c>
      <c r="G141" s="7" t="s">
        <v>380</v>
      </c>
      <c r="H141" s="7">
        <v>540</v>
      </c>
      <c r="I141" s="7">
        <v>3</v>
      </c>
      <c r="J141" s="7">
        <f>IF(Table73844[[#This Row],[ระยะทาง]]&gt;999,1000,IF(Table73844[[#This Row],[ระยะทาง]]&gt;800,800,IF(Table73844[[#This Row],[ระยะทาง]]&gt;500,500,0)))</f>
        <v>500</v>
      </c>
    </row>
    <row r="142" spans="3:10" x14ac:dyDescent="0.25">
      <c r="C142" s="7" t="s">
        <v>380</v>
      </c>
      <c r="D142" s="7">
        <v>540</v>
      </c>
      <c r="E142" s="7">
        <v>3.4</v>
      </c>
      <c r="G142" s="8" t="s">
        <v>381</v>
      </c>
      <c r="H142" s="7">
        <v>830</v>
      </c>
      <c r="I142" s="7">
        <v>3</v>
      </c>
      <c r="J142" s="7">
        <f>IF(Table73844[[#This Row],[ระยะทาง]]&gt;999,1000,IF(Table73844[[#This Row],[ระยะทาง]]&gt;800,800,IF(Table73844[[#This Row],[ระยะทาง]]&gt;500,500,0)))</f>
        <v>800</v>
      </c>
    </row>
    <row r="143" spans="3:10" x14ac:dyDescent="0.25">
      <c r="C143" s="8" t="s">
        <v>381</v>
      </c>
      <c r="D143" s="7">
        <v>830</v>
      </c>
      <c r="E143" s="7">
        <v>3.4</v>
      </c>
      <c r="G143" s="7" t="s">
        <v>382</v>
      </c>
      <c r="H143" s="7">
        <v>830</v>
      </c>
      <c r="I143" s="7">
        <v>3</v>
      </c>
      <c r="J143" s="7">
        <f>IF(Table73844[[#This Row],[ระยะทาง]]&gt;999,1000,IF(Table73844[[#This Row],[ระยะทาง]]&gt;800,800,IF(Table73844[[#This Row],[ระยะทาง]]&gt;500,500,0)))</f>
        <v>800</v>
      </c>
    </row>
    <row r="144" spans="3:10" x14ac:dyDescent="0.25">
      <c r="C144" s="7" t="s">
        <v>382</v>
      </c>
      <c r="D144" s="7">
        <v>830</v>
      </c>
      <c r="E144" s="7">
        <v>3.4</v>
      </c>
      <c r="G144" s="7" t="s">
        <v>383</v>
      </c>
      <c r="H144" s="7">
        <v>790</v>
      </c>
      <c r="I144" s="7">
        <v>3</v>
      </c>
      <c r="J144" s="7">
        <f>IF(Table73844[[#This Row],[ระยะทาง]]&gt;999,1000,IF(Table73844[[#This Row],[ระยะทาง]]&gt;800,800,IF(Table73844[[#This Row],[ระยะทาง]]&gt;500,500,0)))</f>
        <v>500</v>
      </c>
    </row>
    <row r="145" spans="3:10" x14ac:dyDescent="0.25">
      <c r="C145" s="7" t="s">
        <v>383</v>
      </c>
      <c r="D145" s="7">
        <v>790</v>
      </c>
      <c r="E145" s="7">
        <v>3.4</v>
      </c>
      <c r="G145" s="7" t="s">
        <v>384</v>
      </c>
      <c r="H145" s="7">
        <v>840</v>
      </c>
      <c r="I145" s="7">
        <v>3</v>
      </c>
      <c r="J145" s="7">
        <f>IF(Table73844[[#This Row],[ระยะทาง]]&gt;999,1000,IF(Table73844[[#This Row],[ระยะทาง]]&gt;800,800,IF(Table73844[[#This Row],[ระยะทาง]]&gt;500,500,0)))</f>
        <v>800</v>
      </c>
    </row>
    <row r="146" spans="3:10" x14ac:dyDescent="0.25">
      <c r="C146" s="7" t="s">
        <v>384</v>
      </c>
      <c r="D146" s="7">
        <v>840</v>
      </c>
      <c r="E146" s="7">
        <v>3.4</v>
      </c>
      <c r="G146" s="7" t="s">
        <v>385</v>
      </c>
      <c r="H146" s="7">
        <v>670</v>
      </c>
      <c r="I146" s="7">
        <v>3</v>
      </c>
      <c r="J146" s="7">
        <f>IF(Table73844[[#This Row],[ระยะทาง]]&gt;999,1000,IF(Table73844[[#This Row],[ระยะทาง]]&gt;800,800,IF(Table73844[[#This Row],[ระยะทาง]]&gt;500,500,0)))</f>
        <v>500</v>
      </c>
    </row>
    <row r="147" spans="3:10" x14ac:dyDescent="0.25">
      <c r="C147" s="7" t="s">
        <v>385</v>
      </c>
      <c r="D147" s="7">
        <v>670</v>
      </c>
      <c r="E147" s="7">
        <v>3.4</v>
      </c>
      <c r="G147" s="7" t="s">
        <v>386</v>
      </c>
      <c r="H147" s="7">
        <v>540</v>
      </c>
      <c r="I147" s="7">
        <v>3</v>
      </c>
      <c r="J147" s="7">
        <f>IF(Table73844[[#This Row],[ระยะทาง]]&gt;999,1000,IF(Table73844[[#This Row],[ระยะทาง]]&gt;800,800,IF(Table73844[[#This Row],[ระยะทาง]]&gt;500,500,0)))</f>
        <v>500</v>
      </c>
    </row>
    <row r="148" spans="3:10" x14ac:dyDescent="0.25">
      <c r="C148" s="7" t="s">
        <v>386</v>
      </c>
      <c r="D148" s="7">
        <v>540</v>
      </c>
      <c r="E148" s="7">
        <v>3.4</v>
      </c>
      <c r="G148" s="7" t="s">
        <v>387</v>
      </c>
      <c r="H148" s="7">
        <v>1030</v>
      </c>
      <c r="I148" s="7">
        <v>2.9</v>
      </c>
      <c r="J148" s="7">
        <f>IF(Table73844[[#This Row],[ระยะทาง]]&gt;999,1000,IF(Table73844[[#This Row],[ระยะทาง]]&gt;800,800,IF(Table73844[[#This Row],[ระยะทาง]]&gt;500,500,0)))</f>
        <v>1000</v>
      </c>
    </row>
    <row r="149" spans="3:10" x14ac:dyDescent="0.25">
      <c r="C149" s="7" t="s">
        <v>387</v>
      </c>
      <c r="D149" s="7">
        <v>1030</v>
      </c>
      <c r="E149" s="7">
        <v>3.3</v>
      </c>
      <c r="G149" s="8" t="s">
        <v>388</v>
      </c>
      <c r="H149" s="7">
        <v>830</v>
      </c>
      <c r="I149" s="7">
        <v>3</v>
      </c>
      <c r="J149" s="7">
        <f>IF(Table73844[[#This Row],[ระยะทาง]]&gt;999,1000,IF(Table73844[[#This Row],[ระยะทาง]]&gt;800,800,IF(Table73844[[#This Row],[ระยะทาง]]&gt;500,500,0)))</f>
        <v>800</v>
      </c>
    </row>
    <row r="150" spans="3:10" x14ac:dyDescent="0.25">
      <c r="C150" s="8" t="s">
        <v>388</v>
      </c>
      <c r="D150" s="7">
        <v>830</v>
      </c>
      <c r="E150" s="7">
        <v>3.4</v>
      </c>
      <c r="G150" s="8" t="s">
        <v>389</v>
      </c>
      <c r="H150" s="7">
        <v>540</v>
      </c>
      <c r="I150" s="7">
        <v>3</v>
      </c>
      <c r="J150" s="7">
        <f>IF(Table73844[[#This Row],[ระยะทาง]]&gt;999,1000,IF(Table73844[[#This Row],[ระยะทาง]]&gt;800,800,IF(Table73844[[#This Row],[ระยะทาง]]&gt;500,500,0)))</f>
        <v>500</v>
      </c>
    </row>
    <row r="151" spans="3:10" x14ac:dyDescent="0.25">
      <c r="C151" s="8" t="s">
        <v>389</v>
      </c>
      <c r="D151" s="7">
        <v>540</v>
      </c>
      <c r="E151" s="7">
        <v>3.4</v>
      </c>
      <c r="G151" s="8" t="s">
        <v>390</v>
      </c>
      <c r="H151" s="7">
        <v>830</v>
      </c>
      <c r="I151" s="7">
        <v>3</v>
      </c>
      <c r="J151" s="7">
        <f>IF(Table73844[[#This Row],[ระยะทาง]]&gt;999,1000,IF(Table73844[[#This Row],[ระยะทาง]]&gt;800,800,IF(Table73844[[#This Row],[ระยะทาง]]&gt;500,500,0)))</f>
        <v>800</v>
      </c>
    </row>
    <row r="152" spans="3:10" x14ac:dyDescent="0.25">
      <c r="C152" s="8" t="s">
        <v>390</v>
      </c>
      <c r="D152" s="7">
        <v>830</v>
      </c>
      <c r="E152" s="7">
        <v>3.4</v>
      </c>
      <c r="G152" s="8" t="s">
        <v>391</v>
      </c>
      <c r="H152" s="7">
        <v>830</v>
      </c>
      <c r="I152" s="7">
        <v>3</v>
      </c>
      <c r="J152" s="7">
        <v>800</v>
      </c>
    </row>
    <row r="153" spans="3:10" x14ac:dyDescent="0.25">
      <c r="C153" s="7" t="s">
        <v>392</v>
      </c>
      <c r="D153" s="7">
        <v>800</v>
      </c>
      <c r="E153" s="7">
        <v>3.4</v>
      </c>
      <c r="G153" s="7" t="s">
        <v>392</v>
      </c>
      <c r="H153" s="7">
        <v>800</v>
      </c>
      <c r="I153" s="7">
        <v>3</v>
      </c>
      <c r="J153" s="7">
        <f>IF(Table73844[[#This Row],[ระยะทาง]]&gt;999,1000,IF(Table73844[[#This Row],[ระยะทาง]]&gt;800,800,IF(Table73844[[#This Row],[ระยะทาง]]&gt;500,500,0)))</f>
        <v>500</v>
      </c>
    </row>
    <row r="154" spans="3:10" x14ac:dyDescent="0.25">
      <c r="C154" s="7" t="s">
        <v>393</v>
      </c>
      <c r="D154" s="7">
        <v>850</v>
      </c>
      <c r="E154" s="7">
        <v>3.4</v>
      </c>
      <c r="G154" s="7" t="s">
        <v>393</v>
      </c>
      <c r="H154" s="7">
        <v>850</v>
      </c>
      <c r="I154" s="7">
        <v>3</v>
      </c>
      <c r="J154" s="7">
        <f>IF(Table73844[[#This Row],[ระยะทาง]]&gt;999,1000,IF(Table73844[[#This Row],[ระยะทาง]]&gt;800,800,IF(Table73844[[#This Row],[ระยะทาง]]&gt;500,500,0)))</f>
        <v>800</v>
      </c>
    </row>
    <row r="155" spans="3:10" x14ac:dyDescent="0.25">
      <c r="C155" s="7" t="s">
        <v>394</v>
      </c>
      <c r="D155" s="7">
        <v>560</v>
      </c>
      <c r="E155" s="7">
        <v>3.4</v>
      </c>
      <c r="G155" s="8" t="s">
        <v>395</v>
      </c>
      <c r="H155" s="7">
        <v>830</v>
      </c>
      <c r="I155" s="7">
        <v>3</v>
      </c>
      <c r="J155" s="7">
        <f>IF(Table73844[[#This Row],[ระยะทาง]]&gt;999,1000,IF(Table73844[[#This Row],[ระยะทาง]]&gt;800,800,IF(Table73844[[#This Row],[ระยะทาง]]&gt;500,500,0)))</f>
        <v>800</v>
      </c>
    </row>
    <row r="156" spans="3:10" x14ac:dyDescent="0.25">
      <c r="C156" s="7" t="s">
        <v>396</v>
      </c>
      <c r="D156" s="7">
        <v>760</v>
      </c>
      <c r="E156" s="7">
        <v>3.4</v>
      </c>
      <c r="G156" s="8" t="s">
        <v>397</v>
      </c>
      <c r="H156" s="7">
        <v>760</v>
      </c>
      <c r="I156" s="7">
        <v>3</v>
      </c>
      <c r="J156" s="7">
        <f>IF(Table73844[[#This Row],[ระยะทาง]]&gt;999,1000,IF(Table73844[[#This Row],[ระยะทาง]]&gt;800,800,IF(Table73844[[#This Row],[ระยะทาง]]&gt;500,500,0)))</f>
        <v>500</v>
      </c>
    </row>
    <row r="157" spans="3:10" x14ac:dyDescent="0.25">
      <c r="C157" s="7" t="s">
        <v>398</v>
      </c>
      <c r="D157" s="7">
        <v>830</v>
      </c>
      <c r="E157" s="7">
        <v>3.4</v>
      </c>
      <c r="G157" s="7" t="s">
        <v>394</v>
      </c>
      <c r="H157" s="7">
        <v>560</v>
      </c>
      <c r="I157" s="7">
        <v>3</v>
      </c>
      <c r="J157" s="7">
        <f>IF(Table73844[[#This Row],[ระยะทาง]]&gt;999,1000,IF(Table73844[[#This Row],[ระยะทาง]]&gt;800,800,IF(Table73844[[#This Row],[ระยะทาง]]&gt;500,500,0)))</f>
        <v>500</v>
      </c>
    </row>
    <row r="158" spans="3:10" x14ac:dyDescent="0.25">
      <c r="C158" s="7" t="s">
        <v>399</v>
      </c>
      <c r="D158" s="7">
        <v>150</v>
      </c>
      <c r="E158" s="7">
        <v>3.4</v>
      </c>
      <c r="G158" s="7" t="s">
        <v>396</v>
      </c>
      <c r="H158" s="7">
        <v>760</v>
      </c>
      <c r="I158" s="7">
        <v>3</v>
      </c>
      <c r="J158" s="7">
        <f>IF(Table73844[[#This Row],[ระยะทาง]]&gt;999,1000,IF(Table73844[[#This Row],[ระยะทาง]]&gt;800,800,IF(Table73844[[#This Row],[ระยะทาง]]&gt;500,500,0)))</f>
        <v>500</v>
      </c>
    </row>
    <row r="159" spans="3:10" x14ac:dyDescent="0.25">
      <c r="C159" s="8" t="s">
        <v>400</v>
      </c>
      <c r="D159" s="7">
        <v>810</v>
      </c>
      <c r="E159" s="7">
        <v>3.35</v>
      </c>
      <c r="G159" s="7" t="s">
        <v>398</v>
      </c>
      <c r="H159" s="7">
        <v>830</v>
      </c>
      <c r="I159" s="7">
        <v>3</v>
      </c>
      <c r="J159" s="7">
        <f>IF(Table73844[[#This Row],[ระยะทาง]]&gt;999,1000,IF(Table73844[[#This Row],[ระยะทาง]]&gt;800,800,IF(Table73844[[#This Row],[ระยะทาง]]&gt;500,500,0)))</f>
        <v>800</v>
      </c>
    </row>
    <row r="160" spans="3:10" x14ac:dyDescent="0.25">
      <c r="C160" s="7" t="s">
        <v>401</v>
      </c>
      <c r="D160" s="7">
        <v>900</v>
      </c>
      <c r="E160" s="7">
        <v>3.4</v>
      </c>
      <c r="G160" s="7" t="s">
        <v>399</v>
      </c>
      <c r="H160" s="7">
        <v>150</v>
      </c>
      <c r="I160" s="7">
        <v>3</v>
      </c>
      <c r="J160" s="7">
        <f>IF(Table73844[[#This Row],[ระยะทาง]]&gt;999,1000,IF(Table73844[[#This Row],[ระยะทาง]]&gt;800,800,IF(Table73844[[#This Row],[ระยะทาง]]&gt;500,500,0)))</f>
        <v>0</v>
      </c>
    </row>
    <row r="161" spans="3:10" x14ac:dyDescent="0.25">
      <c r="C161" s="7" t="s">
        <v>402</v>
      </c>
      <c r="D161" s="7">
        <v>100</v>
      </c>
      <c r="E161" s="7">
        <v>3.4</v>
      </c>
      <c r="G161" s="8" t="s">
        <v>400</v>
      </c>
      <c r="H161" s="7">
        <v>810</v>
      </c>
      <c r="I161" s="7">
        <v>2.9</v>
      </c>
      <c r="J161" s="7">
        <f>IF(Table73844[[#This Row],[ระยะทาง]]&gt;999,1000,IF(Table73844[[#This Row],[ระยะทาง]]&gt;800,800,IF(Table73844[[#This Row],[ระยะทาง]]&gt;500,500,0)))</f>
        <v>800</v>
      </c>
    </row>
    <row r="162" spans="3:10" x14ac:dyDescent="0.25">
      <c r="C162" s="8" t="s">
        <v>403</v>
      </c>
      <c r="D162" s="7">
        <v>320</v>
      </c>
      <c r="E162" s="7">
        <v>3.4</v>
      </c>
      <c r="G162" s="7" t="s">
        <v>401</v>
      </c>
      <c r="H162" s="7">
        <v>900</v>
      </c>
      <c r="I162" s="7">
        <v>3</v>
      </c>
      <c r="J162" s="7">
        <f>IF(Table73844[[#This Row],[ระยะทาง]]&gt;999,1000,IF(Table73844[[#This Row],[ระยะทาง]]&gt;800,800,IF(Table73844[[#This Row],[ระยะทาง]]&gt;500,500,0)))</f>
        <v>800</v>
      </c>
    </row>
    <row r="163" spans="3:10" x14ac:dyDescent="0.25">
      <c r="C163" s="8" t="s">
        <v>404</v>
      </c>
      <c r="D163" s="7">
        <v>460</v>
      </c>
      <c r="E163" s="7">
        <v>3.4</v>
      </c>
      <c r="G163" s="7" t="s">
        <v>402</v>
      </c>
      <c r="H163" s="7">
        <v>100</v>
      </c>
      <c r="I163" s="7">
        <v>3</v>
      </c>
      <c r="J163" s="7">
        <f>IF(Table73844[[#This Row],[ระยะทาง]]&gt;999,1000,IF(Table73844[[#This Row],[ระยะทาง]]&gt;800,800,IF(Table73844[[#This Row],[ระยะทาง]]&gt;500,500,0)))</f>
        <v>0</v>
      </c>
    </row>
    <row r="164" spans="3:10" x14ac:dyDescent="0.25">
      <c r="C164" s="8" t="s">
        <v>405</v>
      </c>
      <c r="D164" s="7">
        <v>970</v>
      </c>
      <c r="E164" s="7">
        <v>3.4</v>
      </c>
      <c r="G164" s="8" t="s">
        <v>403</v>
      </c>
      <c r="H164" s="7">
        <v>320</v>
      </c>
      <c r="I164" s="7">
        <v>3</v>
      </c>
      <c r="J164" s="7">
        <f>IF(Table73844[[#This Row],[ระยะทาง]]&gt;999,1000,IF(Table73844[[#This Row],[ระยะทาง]]&gt;800,800,IF(Table73844[[#This Row],[ระยะทาง]]&gt;500,500,0)))</f>
        <v>0</v>
      </c>
    </row>
    <row r="165" spans="3:10" x14ac:dyDescent="0.25">
      <c r="C165" s="7" t="s">
        <v>406</v>
      </c>
      <c r="D165" s="7">
        <v>200</v>
      </c>
      <c r="E165" s="7">
        <v>3.4</v>
      </c>
      <c r="G165" s="8" t="s">
        <v>404</v>
      </c>
      <c r="H165" s="7">
        <v>460</v>
      </c>
      <c r="I165" s="7">
        <v>3</v>
      </c>
      <c r="J165" s="7">
        <f>IF(Table73844[[#This Row],[ระยะทาง]]&gt;999,1000,IF(Table73844[[#This Row],[ระยะทาง]]&gt;800,800,IF(Table73844[[#This Row],[ระยะทาง]]&gt;500,500,0)))</f>
        <v>0</v>
      </c>
    </row>
    <row r="166" spans="3:10" x14ac:dyDescent="0.25">
      <c r="C166" s="7" t="s">
        <v>407</v>
      </c>
      <c r="D166" s="7">
        <v>830</v>
      </c>
      <c r="E166" s="7">
        <v>3.35</v>
      </c>
      <c r="G166" s="8" t="s">
        <v>405</v>
      </c>
      <c r="H166" s="7">
        <v>970</v>
      </c>
      <c r="I166" s="7">
        <v>3</v>
      </c>
      <c r="J166" s="7">
        <f>IF(Table73844[[#This Row],[ระยะทาง]]&gt;999,1000,IF(Table73844[[#This Row],[ระยะทาง]]&gt;800,800,IF(Table73844[[#This Row],[ระยะทาง]]&gt;500,500,0)))</f>
        <v>800</v>
      </c>
    </row>
    <row r="167" spans="3:10" x14ac:dyDescent="0.25">
      <c r="C167" s="7" t="s">
        <v>408</v>
      </c>
      <c r="D167" s="7">
        <v>670</v>
      </c>
      <c r="E167" s="7">
        <v>3.4</v>
      </c>
      <c r="G167" s="7" t="s">
        <v>406</v>
      </c>
      <c r="H167" s="7">
        <v>200</v>
      </c>
      <c r="I167" s="7">
        <v>3</v>
      </c>
      <c r="J167" s="7">
        <f>IF(Table73844[[#This Row],[ระยะทาง]]&gt;999,1000,IF(Table73844[[#This Row],[ระยะทาง]]&gt;800,800,IF(Table73844[[#This Row],[ระยะทาง]]&gt;500,500,0)))</f>
        <v>0</v>
      </c>
    </row>
    <row r="168" spans="3:10" x14ac:dyDescent="0.25">
      <c r="C168" s="8" t="s">
        <v>409</v>
      </c>
      <c r="D168" s="7">
        <v>1040</v>
      </c>
      <c r="E168" s="7">
        <v>3.4</v>
      </c>
      <c r="G168" s="7" t="s">
        <v>407</v>
      </c>
      <c r="H168" s="7">
        <v>830</v>
      </c>
      <c r="I168" s="7">
        <v>2.9</v>
      </c>
      <c r="J168" s="7">
        <f>IF(Table73844[[#This Row],[ระยะทาง]]&gt;999,1000,IF(Table73844[[#This Row],[ระยะทาง]]&gt;800,800,IF(Table73844[[#This Row],[ระยะทาง]]&gt;500,500,0)))</f>
        <v>800</v>
      </c>
    </row>
    <row r="169" spans="3:10" x14ac:dyDescent="0.25">
      <c r="C169" s="8" t="s">
        <v>410</v>
      </c>
      <c r="D169" s="7">
        <v>1060</v>
      </c>
      <c r="E169" s="7">
        <v>3.4</v>
      </c>
      <c r="G169" s="7" t="s">
        <v>408</v>
      </c>
      <c r="H169" s="7">
        <v>670</v>
      </c>
      <c r="I169" s="7">
        <v>3</v>
      </c>
      <c r="J169" s="7">
        <f>IF(Table73844[[#This Row],[ระยะทาง]]&gt;999,1000,IF(Table73844[[#This Row],[ระยะทาง]]&gt;800,800,IF(Table73844[[#This Row],[ระยะทาง]]&gt;500,500,0)))</f>
        <v>500</v>
      </c>
    </row>
    <row r="170" spans="3:10" x14ac:dyDescent="0.25">
      <c r="C170" s="7" t="s">
        <v>352</v>
      </c>
      <c r="D170" s="7">
        <v>0</v>
      </c>
      <c r="E170" s="7">
        <v>3.4</v>
      </c>
      <c r="G170" s="8" t="s">
        <v>409</v>
      </c>
      <c r="H170" s="7">
        <v>1040</v>
      </c>
      <c r="I170" s="7">
        <v>3</v>
      </c>
      <c r="J170" s="7">
        <f>IF(Table73844[[#This Row],[ระยะทาง]]&gt;999,1000,IF(Table73844[[#This Row],[ระยะทาง]]&gt;800,800,IF(Table73844[[#This Row],[ระยะทาง]]&gt;500,500,0)))</f>
        <v>1000</v>
      </c>
    </row>
    <row r="171" spans="3:10" x14ac:dyDescent="0.25">
      <c r="C171" s="8" t="s">
        <v>411</v>
      </c>
      <c r="D171" s="7">
        <v>500</v>
      </c>
      <c r="E171" s="7">
        <v>3.4</v>
      </c>
      <c r="G171" s="8" t="s">
        <v>412</v>
      </c>
      <c r="H171" s="7">
        <v>1040</v>
      </c>
      <c r="I171" s="7">
        <v>3</v>
      </c>
      <c r="J171" s="7">
        <f>IF(Table73844[[#This Row],[ระยะทาง]]&gt;999,1000,IF(Table73844[[#This Row],[ระยะทาง]]&gt;800,800,IF(Table73844[[#This Row],[ระยะทาง]]&gt;500,500,0)))</f>
        <v>1000</v>
      </c>
    </row>
    <row r="172" spans="3:10" x14ac:dyDescent="0.25">
      <c r="C172" s="8" t="s">
        <v>413</v>
      </c>
      <c r="D172" s="7">
        <v>1410</v>
      </c>
      <c r="E172" s="7">
        <v>3.4</v>
      </c>
      <c r="G172" s="8" t="s">
        <v>410</v>
      </c>
      <c r="H172" s="7">
        <v>1060</v>
      </c>
      <c r="I172" s="7">
        <v>3</v>
      </c>
      <c r="J172" s="7">
        <f>IF(Table73844[[#This Row],[ระยะทาง]]&gt;999,1000,IF(Table73844[[#This Row],[ระยะทาง]]&gt;800,800,IF(Table73844[[#This Row],[ระยะทาง]]&gt;500,500,0)))</f>
        <v>1000</v>
      </c>
    </row>
    <row r="173" spans="3:10" x14ac:dyDescent="0.25">
      <c r="C173" s="8" t="s">
        <v>194</v>
      </c>
      <c r="D173" s="7">
        <v>120</v>
      </c>
      <c r="E173" s="7">
        <v>3.4</v>
      </c>
      <c r="G173" s="7" t="s">
        <v>352</v>
      </c>
      <c r="H173" s="7">
        <v>0</v>
      </c>
      <c r="I173" s="7">
        <v>3</v>
      </c>
      <c r="J173" s="7">
        <f>IF(Table73844[[#This Row],[ระยะทาง]]&gt;999,1000,IF(Table73844[[#This Row],[ระยะทาง]]&gt;800,800,IF(Table73844[[#This Row],[ระยะทาง]]&gt;500,500,0)))</f>
        <v>0</v>
      </c>
    </row>
    <row r="174" spans="3:10" x14ac:dyDescent="0.25">
      <c r="C174" s="8" t="s">
        <v>414</v>
      </c>
      <c r="D174" s="7">
        <v>420</v>
      </c>
      <c r="E174" s="7">
        <v>3.4</v>
      </c>
      <c r="J174" s="7">
        <f>IF(Table73844[[#This Row],[ระยะทาง]]&gt;999,1000,IF(Table73844[[#This Row],[ระยะทาง]]&gt;800,800,IF(Table73844[[#This Row],[ระยะทาง]]&gt;500,500,0)))</f>
        <v>0</v>
      </c>
    </row>
    <row r="175" spans="3:10" x14ac:dyDescent="0.25">
      <c r="C175" s="8" t="s">
        <v>415</v>
      </c>
      <c r="D175" s="7">
        <v>185</v>
      </c>
      <c r="E175" s="7">
        <v>3.4</v>
      </c>
      <c r="J175" s="7">
        <f>IF(Table73844[[#This Row],[ระยะทาง]]&gt;999,1000,IF(Table73844[[#This Row],[ระยะทาง]]&gt;800,800,IF(Table73844[[#This Row],[ระยะทาง]]&gt;500,500,0)))</f>
        <v>0</v>
      </c>
    </row>
    <row r="176" spans="3:10" x14ac:dyDescent="0.25">
      <c r="C176" s="8" t="s">
        <v>416</v>
      </c>
      <c r="D176" s="7">
        <v>245</v>
      </c>
      <c r="E176" s="7">
        <v>3.4</v>
      </c>
      <c r="J176" s="7">
        <f>IF(Table73844[[#This Row],[ระยะทาง]]&gt;999,1000,IF(Table73844[[#This Row],[ระยะทาง]]&gt;800,800,IF(Table73844[[#This Row],[ระยะทาง]]&gt;500,500,0)))</f>
        <v>0</v>
      </c>
    </row>
    <row r="177" spans="3:10" x14ac:dyDescent="0.25">
      <c r="C177" s="8" t="s">
        <v>417</v>
      </c>
      <c r="D177" s="7">
        <v>140</v>
      </c>
      <c r="E177" s="7">
        <v>3.4</v>
      </c>
      <c r="J177" s="7">
        <f>IF(Table73844[[#This Row],[ระยะทาง]]&gt;999,1000,IF(Table73844[[#This Row],[ระยะทาง]]&gt;800,800,IF(Table73844[[#This Row],[ระยะทาง]]&gt;500,500,0)))</f>
        <v>0</v>
      </c>
    </row>
    <row r="178" spans="3:10" x14ac:dyDescent="0.25">
      <c r="C178" s="8" t="s">
        <v>418</v>
      </c>
      <c r="D178" s="7">
        <v>300</v>
      </c>
      <c r="E178" s="7">
        <v>3.4</v>
      </c>
      <c r="J178" s="7">
        <f>IF(Table73844[[#This Row],[ระยะทาง]]&gt;999,1000,IF(Table73844[[#This Row],[ระยะทาง]]&gt;800,800,IF(Table73844[[#This Row],[ระยะทาง]]&gt;500,500,0)))</f>
        <v>0</v>
      </c>
    </row>
    <row r="179" spans="3:10" x14ac:dyDescent="0.25">
      <c r="C179" s="8" t="s">
        <v>419</v>
      </c>
      <c r="D179" s="7">
        <v>1155</v>
      </c>
      <c r="E179" s="7">
        <v>3.4</v>
      </c>
      <c r="J179" s="7">
        <f>IF(Table73844[[#This Row],[ระยะทาง]]&gt;999,1000,IF(Table73844[[#This Row],[ระยะทาง]]&gt;800,800,IF(Table73844[[#This Row],[ระยะทาง]]&gt;500,500,0)))</f>
        <v>0</v>
      </c>
    </row>
    <row r="180" spans="3:10" x14ac:dyDescent="0.25">
      <c r="J180" s="7">
        <f>IF(Table73844[[#This Row],[ระยะทาง]]&gt;999,1000,IF(Table73844[[#This Row],[ระยะทาง]]&gt;800,800,IF(Table73844[[#This Row],[ระยะทาง]]&gt;500,500,0)))</f>
        <v>0</v>
      </c>
    </row>
    <row r="181" spans="3:10" x14ac:dyDescent="0.25">
      <c r="J181" s="7">
        <f>IF(Table73844[[#This Row],[ระยะทาง]]&gt;999,1000,IF(Table73844[[#This Row],[ระยะทาง]]&gt;800,800,IF(Table73844[[#This Row],[ระยะทาง]]&gt;500,500,0)))</f>
        <v>0</v>
      </c>
    </row>
    <row r="182" spans="3:10" x14ac:dyDescent="0.25">
      <c r="J182" s="7">
        <f>IF(Table73844[[#This Row],[ระยะทาง]]&gt;999,1000,IF(Table73844[[#This Row],[ระยะทาง]]&gt;800,800,IF(Table73844[[#This Row],[ระยะทาง]]&gt;500,500,0)))</f>
        <v>0</v>
      </c>
    </row>
    <row r="183" spans="3:10" x14ac:dyDescent="0.25">
      <c r="J183" s="7">
        <f>IF(Table73844[[#This Row],[ระยะทาง]]&gt;999,1000,IF(Table73844[[#This Row],[ระยะทาง]]&gt;800,800,IF(Table73844[[#This Row],[ระยะทาง]]&gt;500,500,0)))</f>
        <v>0</v>
      </c>
    </row>
    <row r="184" spans="3:10" x14ac:dyDescent="0.25">
      <c r="J184" s="7">
        <f>IF(Table73844[[#This Row],[ระยะทาง]]&gt;999,1000,IF(Table73844[[#This Row],[ระยะทาง]]&gt;800,800,IF(Table73844[[#This Row],[ระยะทาง]]&gt;500,500,0)))</f>
        <v>0</v>
      </c>
    </row>
    <row r="185" spans="3:10" x14ac:dyDescent="0.25">
      <c r="J185" s="7">
        <f>IF(Table73844[[#This Row],[ระยะทาง]]&gt;999,1000,IF(Table73844[[#This Row],[ระยะทาง]]&gt;800,800,IF(Table73844[[#This Row],[ระยะทาง]]&gt;500,500,0)))</f>
        <v>0</v>
      </c>
    </row>
    <row r="186" spans="3:10" x14ac:dyDescent="0.25">
      <c r="J186" s="7">
        <f>IF(Table73844[[#This Row],[ระยะทาง]]&gt;999,1000,IF(Table73844[[#This Row],[ระยะทาง]]&gt;800,800,IF(Table73844[[#This Row],[ระยะทาง]]&gt;500,500,0)))</f>
        <v>0</v>
      </c>
    </row>
    <row r="187" spans="3:10" x14ac:dyDescent="0.25">
      <c r="J187" s="7">
        <f>IF(Table73844[[#This Row],[ระยะทาง]]&gt;999,1000,IF(Table73844[[#This Row],[ระยะทาง]]&gt;800,800,IF(Table73844[[#This Row],[ระยะทาง]]&gt;500,500,0)))</f>
        <v>0</v>
      </c>
    </row>
    <row r="188" spans="3:10" x14ac:dyDescent="0.25">
      <c r="J188" s="7">
        <f>IF(Table73844[[#This Row],[ระยะทาง]]&gt;999,1000,IF(Table73844[[#This Row],[ระยะทาง]]&gt;800,800,IF(Table73844[[#This Row],[ระยะทาง]]&gt;500,500,0)))</f>
        <v>0</v>
      </c>
    </row>
    <row r="189" spans="3:10" x14ac:dyDescent="0.25">
      <c r="J189" s="7">
        <f>IF(Table73844[[#This Row],[ระยะทาง]]&gt;999,1000,IF(Table73844[[#This Row],[ระยะทาง]]&gt;800,800,IF(Table73844[[#This Row],[ระยะทาง]]&gt;500,500,0)))</f>
        <v>0</v>
      </c>
    </row>
    <row r="190" spans="3:10" x14ac:dyDescent="0.25">
      <c r="J190" s="7">
        <f>IF(Table73844[[#This Row],[ระยะทาง]]&gt;999,1000,IF(Table73844[[#This Row],[ระยะทาง]]&gt;800,800,IF(Table73844[[#This Row],[ระยะทาง]]&gt;500,500,0)))</f>
        <v>0</v>
      </c>
    </row>
    <row r="191" spans="3:10" x14ac:dyDescent="0.25">
      <c r="J191" s="7">
        <f>IF(Table73844[[#This Row],[ระยะทาง]]&gt;999,1000,IF(Table73844[[#This Row],[ระยะทาง]]&gt;800,800,IF(Table73844[[#This Row],[ระยะทาง]]&gt;500,500,0)))</f>
        <v>0</v>
      </c>
    </row>
    <row r="192" spans="3:10" x14ac:dyDescent="0.25">
      <c r="J192" s="7">
        <f>IF(Table73844[[#This Row],[ระยะทาง]]&gt;999,1000,IF(Table73844[[#This Row],[ระยะทาง]]&gt;800,800,IF(Table73844[[#This Row],[ระยะทาง]]&gt;500,500,0)))</f>
        <v>0</v>
      </c>
    </row>
    <row r="193" spans="10:10" x14ac:dyDescent="0.25">
      <c r="J193" s="7">
        <f>IF(Table73844[[#This Row],[ระยะทาง]]&gt;999,1000,IF(Table73844[[#This Row],[ระยะทาง]]&gt;800,800,IF(Table73844[[#This Row],[ระยะทาง]]&gt;500,500,0)))</f>
        <v>0</v>
      </c>
    </row>
    <row r="194" spans="10:10" x14ac:dyDescent="0.25">
      <c r="J194" s="7">
        <f>IF(Table73844[[#This Row],[ระยะทาง]]&gt;999,1000,IF(Table73844[[#This Row],[ระยะทาง]]&gt;800,800,IF(Table73844[[#This Row],[ระยะทาง]]&gt;500,500,0)))</f>
        <v>0</v>
      </c>
    </row>
    <row r="195" spans="10:10" x14ac:dyDescent="0.25">
      <c r="J195" s="7">
        <f>IF(Table73844[[#This Row],[ระยะทาง]]&gt;999,1000,IF(Table73844[[#This Row],[ระยะทาง]]&gt;800,800,IF(Table73844[[#This Row],[ระยะทาง]]&gt;500,500,0)))</f>
        <v>0</v>
      </c>
    </row>
    <row r="196" spans="10:10" x14ac:dyDescent="0.25">
      <c r="J196" s="7">
        <f>IF(Table73844[[#This Row],[ระยะทาง]]&gt;999,1000,IF(Table73844[[#This Row],[ระยะทาง]]&gt;800,800,IF(Table73844[[#This Row],[ระยะทาง]]&gt;500,500,0)))</f>
        <v>0</v>
      </c>
    </row>
    <row r="197" spans="10:10" x14ac:dyDescent="0.25">
      <c r="J197" s="7">
        <f>IF(Table73844[[#This Row],[ระยะทาง]]&gt;999,1000,IF(Table73844[[#This Row],[ระยะทาง]]&gt;800,800,IF(Table73844[[#This Row],[ระยะทาง]]&gt;500,500,0)))</f>
        <v>0</v>
      </c>
    </row>
    <row r="198" spans="10:10" x14ac:dyDescent="0.25">
      <c r="J198" s="7">
        <f>IF(Table73844[[#This Row],[ระยะทาง]]&gt;999,1000,IF(Table73844[[#This Row],[ระยะทาง]]&gt;800,800,IF(Table73844[[#This Row],[ระยะทาง]]&gt;500,500,0)))</f>
        <v>0</v>
      </c>
    </row>
    <row r="199" spans="10:10" x14ac:dyDescent="0.25">
      <c r="J199" s="7">
        <f>IF(Table73844[[#This Row],[ระยะทาง]]&gt;999,1000,IF(Table73844[[#This Row],[ระยะทาง]]&gt;800,800,IF(Table73844[[#This Row],[ระยะทาง]]&gt;500,500,0)))</f>
        <v>0</v>
      </c>
    </row>
    <row r="200" spans="10:10" x14ac:dyDescent="0.25">
      <c r="J200" s="7">
        <f>IF(Table73844[[#This Row],[ระยะทาง]]&gt;999,1000,IF(Table73844[[#This Row],[ระยะทาง]]&gt;800,800,IF(Table73844[[#This Row],[ระยะทาง]]&gt;500,500,0)))</f>
        <v>0</v>
      </c>
    </row>
    <row r="201" spans="10:10" x14ac:dyDescent="0.25">
      <c r="J201" s="7">
        <f>IF(Table73844[[#This Row],[ระยะทาง]]&gt;999,1000,IF(Table73844[[#This Row],[ระยะทาง]]&gt;800,800,IF(Table73844[[#This Row],[ระยะทาง]]&gt;500,500,0)))</f>
        <v>0</v>
      </c>
    </row>
    <row r="202" spans="10:10" x14ac:dyDescent="0.25">
      <c r="J202" s="7">
        <f>IF(Table73844[[#This Row],[ระยะทาง]]&gt;999,1000,IF(Table73844[[#This Row],[ระยะทาง]]&gt;800,800,IF(Table73844[[#This Row],[ระยะทาง]]&gt;500,500,0)))</f>
        <v>0</v>
      </c>
    </row>
    <row r="203" spans="10:10" x14ac:dyDescent="0.25">
      <c r="J203" s="7">
        <f>IF(Table73844[[#This Row],[ระยะทาง]]&gt;999,1000,IF(Table73844[[#This Row],[ระยะทาง]]&gt;800,800,IF(Table73844[[#This Row],[ระยะทาง]]&gt;500,500,0)))</f>
        <v>0</v>
      </c>
    </row>
    <row r="204" spans="10:10" x14ac:dyDescent="0.25">
      <c r="J204" s="7">
        <f>IF(Table73844[[#This Row],[ระยะทาง]]&gt;999,1000,IF(Table73844[[#This Row],[ระยะทาง]]&gt;800,800,IF(Table73844[[#This Row],[ระยะทาง]]&gt;500,500,0)))</f>
        <v>0</v>
      </c>
    </row>
    <row r="205" spans="10:10" x14ac:dyDescent="0.25">
      <c r="J205" s="7">
        <f>IF(Table73844[[#This Row],[ระยะทาง]]&gt;999,1000,IF(Table73844[[#This Row],[ระยะทาง]]&gt;800,800,IF(Table73844[[#This Row],[ระยะทาง]]&gt;500,500,0)))</f>
        <v>0</v>
      </c>
    </row>
    <row r="206" spans="10:10" x14ac:dyDescent="0.25">
      <c r="J206" s="7">
        <f>IF(Table73844[[#This Row],[ระยะทาง]]&gt;999,1000,IF(Table73844[[#This Row],[ระยะทาง]]&gt;800,800,IF(Table73844[[#This Row],[ระยะทาง]]&gt;500,500,0)))</f>
        <v>0</v>
      </c>
    </row>
    <row r="207" spans="10:10" x14ac:dyDescent="0.25">
      <c r="J207" s="7">
        <f>IF(Table73844[[#This Row],[ระยะทาง]]&gt;999,1000,IF(Table73844[[#This Row],[ระยะทาง]]&gt;800,800,IF(Table73844[[#This Row],[ระยะทาง]]&gt;500,500,0)))</f>
        <v>0</v>
      </c>
    </row>
    <row r="208" spans="10:10" x14ac:dyDescent="0.25">
      <c r="J208" s="7">
        <f>IF(Table73844[[#This Row],[ระยะทาง]]&gt;999,1000,IF(Table73844[[#This Row],[ระยะทาง]]&gt;800,800,IF(Table73844[[#This Row],[ระยะทาง]]&gt;500,500,0)))</f>
        <v>0</v>
      </c>
    </row>
    <row r="209" spans="10:10" x14ac:dyDescent="0.25">
      <c r="J209" s="7">
        <f>IF(Table73844[[#This Row],[ระยะทาง]]&gt;999,1000,IF(Table73844[[#This Row],[ระยะทาง]]&gt;800,800,IF(Table73844[[#This Row],[ระยะทาง]]&gt;500,500,0)))</f>
        <v>0</v>
      </c>
    </row>
    <row r="210" spans="10:10" x14ac:dyDescent="0.25">
      <c r="J210" s="7">
        <f>IF(Table73844[[#This Row],[ระยะทาง]]&gt;999,1000,IF(Table73844[[#This Row],[ระยะทาง]]&gt;800,800,IF(Table73844[[#This Row],[ระยะทาง]]&gt;500,500,0)))</f>
        <v>0</v>
      </c>
    </row>
    <row r="211" spans="10:10" x14ac:dyDescent="0.25">
      <c r="J211" s="7">
        <f>IF(Table73844[[#This Row],[ระยะทาง]]&gt;999,1000,IF(Table73844[[#This Row],[ระยะทาง]]&gt;800,800,IF(Table73844[[#This Row],[ระยะทาง]]&gt;500,500,0)))</f>
        <v>0</v>
      </c>
    </row>
    <row r="212" spans="10:10" x14ac:dyDescent="0.25">
      <c r="J212" s="7">
        <f>IF(Table73844[[#This Row],[ระยะทาง]]&gt;999,1000,IF(Table73844[[#This Row],[ระยะทาง]]&gt;800,800,IF(Table73844[[#This Row],[ระยะทาง]]&gt;500,500,0)))</f>
        <v>0</v>
      </c>
    </row>
    <row r="213" spans="10:10" x14ac:dyDescent="0.25">
      <c r="J213" s="7">
        <f>IF(Table73844[[#This Row],[ระยะทาง]]&gt;999,1000,IF(Table73844[[#This Row],[ระยะทาง]]&gt;800,800,IF(Table73844[[#This Row],[ระยะทาง]]&gt;500,500,0)))</f>
        <v>0</v>
      </c>
    </row>
    <row r="214" spans="10:10" x14ac:dyDescent="0.25">
      <c r="J214" s="7">
        <f>IF(Table73844[[#This Row],[ระยะทาง]]&gt;999,1000,IF(Table73844[[#This Row],[ระยะทาง]]&gt;800,800,IF(Table73844[[#This Row],[ระยะทาง]]&gt;500,500,0)))</f>
        <v>0</v>
      </c>
    </row>
    <row r="215" spans="10:10" x14ac:dyDescent="0.25">
      <c r="J215" s="7">
        <f>IF(Table73844[[#This Row],[ระยะทาง]]&gt;999,1000,IF(Table73844[[#This Row],[ระยะทาง]]&gt;800,800,IF(Table73844[[#This Row],[ระยะทาง]]&gt;500,500,0)))</f>
        <v>0</v>
      </c>
    </row>
    <row r="216" spans="10:10" x14ac:dyDescent="0.25">
      <c r="J216" s="7">
        <f>IF(Table73844[[#This Row],[ระยะทาง]]&gt;999,1000,IF(Table73844[[#This Row],[ระยะทาง]]&gt;800,800,IF(Table73844[[#This Row],[ระยะทาง]]&gt;500,500,0)))</f>
        <v>0</v>
      </c>
    </row>
    <row r="217" spans="10:10" x14ac:dyDescent="0.25">
      <c r="J217" s="7">
        <f>IF(Table73844[[#This Row],[ระยะทาง]]&gt;999,1000,IF(Table73844[[#This Row],[ระยะทาง]]&gt;800,800,IF(Table73844[[#This Row],[ระยะทาง]]&gt;500,500,0)))</f>
        <v>0</v>
      </c>
    </row>
    <row r="218" spans="10:10" x14ac:dyDescent="0.25">
      <c r="J218" s="7">
        <f>IF(Table73844[[#This Row],[ระยะทาง]]&gt;999,1000,IF(Table73844[[#This Row],[ระยะทาง]]&gt;800,800,IF(Table73844[[#This Row],[ระยะทาง]]&gt;500,500,0)))</f>
        <v>0</v>
      </c>
    </row>
    <row r="219" spans="10:10" x14ac:dyDescent="0.25">
      <c r="J219" s="7">
        <f>IF(Table73844[[#This Row],[ระยะทาง]]&gt;999,1000,IF(Table73844[[#This Row],[ระยะทาง]]&gt;800,800,IF(Table73844[[#This Row],[ระยะทาง]]&gt;500,500,0)))</f>
        <v>0</v>
      </c>
    </row>
    <row r="220" spans="10:10" x14ac:dyDescent="0.25">
      <c r="J220" s="7">
        <f>IF(Table73844[[#This Row],[ระยะทาง]]&gt;999,1000,IF(Table73844[[#This Row],[ระยะทาง]]&gt;800,800,IF(Table73844[[#This Row],[ระยะทาง]]&gt;500,500,0)))</f>
        <v>0</v>
      </c>
    </row>
    <row r="221" spans="10:10" x14ac:dyDescent="0.25">
      <c r="J221" s="7">
        <f>IF(Table73844[[#This Row],[ระยะทาง]]&gt;999,1000,IF(Table73844[[#This Row],[ระยะทาง]]&gt;800,800,IF(Table73844[[#This Row],[ระยะทาง]]&gt;500,500,0)))</f>
        <v>0</v>
      </c>
    </row>
    <row r="222" spans="10:10" x14ac:dyDescent="0.25">
      <c r="J222" s="7">
        <f>IF(Table73844[[#This Row],[ระยะทาง]]&gt;999,1000,IF(Table73844[[#This Row],[ระยะทาง]]&gt;800,800,IF(Table73844[[#This Row],[ระยะทาง]]&gt;500,500,0)))</f>
        <v>0</v>
      </c>
    </row>
    <row r="223" spans="10:10" x14ac:dyDescent="0.25">
      <c r="J223" s="7">
        <f>IF(Table73844[[#This Row],[ระยะทาง]]&gt;999,1000,IF(Table73844[[#This Row],[ระยะทาง]]&gt;800,800,IF(Table73844[[#This Row],[ระยะทาง]]&gt;500,500,0)))</f>
        <v>0</v>
      </c>
    </row>
    <row r="224" spans="10:10" x14ac:dyDescent="0.25">
      <c r="J224" s="7">
        <f>IF(Table73844[[#This Row],[ระยะทาง]]&gt;999,1000,IF(Table73844[[#This Row],[ระยะทาง]]&gt;800,800,IF(Table73844[[#This Row],[ระยะทาง]]&gt;500,500,0)))</f>
        <v>0</v>
      </c>
    </row>
    <row r="225" spans="10:10" x14ac:dyDescent="0.25">
      <c r="J225" s="7">
        <f>IF(Table73844[[#This Row],[ระยะทาง]]&gt;999,1000,IF(Table73844[[#This Row],[ระยะทาง]]&gt;800,800,IF(Table73844[[#This Row],[ระยะทาง]]&gt;500,500,0)))</f>
        <v>0</v>
      </c>
    </row>
    <row r="226" spans="10:10" x14ac:dyDescent="0.25">
      <c r="J226" s="7">
        <f>IF(Table73844[[#This Row],[ระยะทาง]]&gt;999,1000,IF(Table73844[[#This Row],[ระยะทาง]]&gt;800,800,IF(Table73844[[#This Row],[ระยะทาง]]&gt;500,500,0)))</f>
        <v>0</v>
      </c>
    </row>
    <row r="227" spans="10:10" x14ac:dyDescent="0.25">
      <c r="J227" s="7">
        <f>IF(Table73844[[#This Row],[ระยะทาง]]&gt;999,1000,IF(Table73844[[#This Row],[ระยะทาง]]&gt;800,800,IF(Table73844[[#This Row],[ระยะทาง]]&gt;500,500,0)))</f>
        <v>0</v>
      </c>
    </row>
    <row r="228" spans="10:10" x14ac:dyDescent="0.25">
      <c r="J228" s="7">
        <f>IF(Table73844[[#This Row],[ระยะทาง]]&gt;999,1000,IF(Table73844[[#This Row],[ระยะทาง]]&gt;800,800,IF(Table73844[[#This Row],[ระยะทาง]]&gt;500,500,0)))</f>
        <v>0</v>
      </c>
    </row>
    <row r="229" spans="10:10" x14ac:dyDescent="0.25">
      <c r="J229" s="7">
        <f>IF(Table73844[[#This Row],[ระยะทาง]]&gt;999,1000,IF(Table73844[[#This Row],[ระยะทาง]]&gt;800,800,IF(Table73844[[#This Row],[ระยะทาง]]&gt;500,500,0)))</f>
        <v>0</v>
      </c>
    </row>
    <row r="230" spans="10:10" x14ac:dyDescent="0.25">
      <c r="J230" s="7">
        <f>IF(Table73844[[#This Row],[ระยะทาง]]&gt;999,1000,IF(Table73844[[#This Row],[ระยะทาง]]&gt;800,800,IF(Table73844[[#This Row],[ระยะทาง]]&gt;500,500,0)))</f>
        <v>0</v>
      </c>
    </row>
    <row r="231" spans="10:10" x14ac:dyDescent="0.25">
      <c r="J231" s="7">
        <f>IF(Table73844[[#This Row],[ระยะทาง]]&gt;999,1000,IF(Table73844[[#This Row],[ระยะทาง]]&gt;800,800,IF(Table73844[[#This Row],[ระยะทาง]]&gt;500,500,0)))</f>
        <v>0</v>
      </c>
    </row>
    <row r="232" spans="10:10" x14ac:dyDescent="0.25">
      <c r="J232" s="7">
        <f>IF(Table73844[[#This Row],[ระยะทาง]]&gt;999,1000,IF(Table73844[[#This Row],[ระยะทาง]]&gt;800,800,IF(Table73844[[#This Row],[ระยะทาง]]&gt;500,500,0)))</f>
        <v>0</v>
      </c>
    </row>
    <row r="233" spans="10:10" x14ac:dyDescent="0.25">
      <c r="J233" s="7">
        <f>IF(Table73844[[#This Row],[ระยะทาง]]&gt;999,1000,IF(Table73844[[#This Row],[ระยะทาง]]&gt;800,800,IF(Table73844[[#This Row],[ระยะทาง]]&gt;500,500,0)))</f>
        <v>0</v>
      </c>
    </row>
    <row r="234" spans="10:10" x14ac:dyDescent="0.25">
      <c r="J234" s="7">
        <f>IF(Table73844[[#This Row],[ระยะทาง]]&gt;999,1000,IF(Table73844[[#This Row],[ระยะทาง]]&gt;800,800,IF(Table73844[[#This Row],[ระยะทาง]]&gt;500,500,0)))</f>
        <v>0</v>
      </c>
    </row>
    <row r="235" spans="10:10" x14ac:dyDescent="0.25">
      <c r="J235" s="7">
        <f>IF(Table73844[[#This Row],[ระยะทาง]]&gt;999,1000,IF(Table73844[[#This Row],[ระยะทาง]]&gt;800,800,IF(Table73844[[#This Row],[ระยะทาง]]&gt;500,500,0)))</f>
        <v>0</v>
      </c>
    </row>
    <row r="236" spans="10:10" x14ac:dyDescent="0.25">
      <c r="J236" s="7">
        <f>IF(Table73844[[#This Row],[ระยะทาง]]&gt;999,1000,IF(Table73844[[#This Row],[ระยะทาง]]&gt;800,800,IF(Table73844[[#This Row],[ระยะทาง]]&gt;500,500,0)))</f>
        <v>0</v>
      </c>
    </row>
    <row r="237" spans="10:10" x14ac:dyDescent="0.25">
      <c r="J237" s="7">
        <f>IF(Table73844[[#This Row],[ระยะทาง]]&gt;999,1000,IF(Table73844[[#This Row],[ระยะทาง]]&gt;800,800,IF(Table73844[[#This Row],[ระยะทาง]]&gt;500,500,0)))</f>
        <v>0</v>
      </c>
    </row>
    <row r="238" spans="10:10" x14ac:dyDescent="0.25">
      <c r="J238" s="7">
        <f>IF(Table73844[[#This Row],[ระยะทาง]]&gt;999,1000,IF(Table73844[[#This Row],[ระยะทาง]]&gt;800,800,IF(Table73844[[#This Row],[ระยะทาง]]&gt;500,500,0)))</f>
        <v>0</v>
      </c>
    </row>
    <row r="239" spans="10:10" x14ac:dyDescent="0.25">
      <c r="J239" s="7">
        <f>IF(Table73844[[#This Row],[ระยะทาง]]&gt;999,1000,IF(Table73844[[#This Row],[ระยะทาง]]&gt;800,800,IF(Table73844[[#This Row],[ระยะทาง]]&gt;500,500,0)))</f>
        <v>0</v>
      </c>
    </row>
    <row r="240" spans="10:10" x14ac:dyDescent="0.25">
      <c r="J240" s="7">
        <f>IF(Table73844[[#This Row],[ระยะทาง]]&gt;999,1000,IF(Table73844[[#This Row],[ระยะทาง]]&gt;800,800,IF(Table73844[[#This Row],[ระยะทาง]]&gt;500,500,0)))</f>
        <v>0</v>
      </c>
    </row>
    <row r="241" spans="10:10" x14ac:dyDescent="0.25">
      <c r="J241" s="7">
        <f>IF(Table73844[[#This Row],[ระยะทาง]]&gt;999,1000,IF(Table73844[[#This Row],[ระยะทาง]]&gt;800,800,IF(Table73844[[#This Row],[ระยะทาง]]&gt;500,500,0)))</f>
        <v>0</v>
      </c>
    </row>
    <row r="242" spans="10:10" x14ac:dyDescent="0.25">
      <c r="J242" s="7">
        <f>IF(Table73844[[#This Row],[ระยะทาง]]&gt;999,1000,IF(Table73844[[#This Row],[ระยะทาง]]&gt;800,800,IF(Table73844[[#This Row],[ระยะทาง]]&gt;500,500,0)))</f>
        <v>0</v>
      </c>
    </row>
    <row r="243" spans="10:10" x14ac:dyDescent="0.25">
      <c r="J243" s="7">
        <f>IF(Table73844[[#This Row],[ระยะทาง]]&gt;999,1000,IF(Table73844[[#This Row],[ระยะทาง]]&gt;800,800,IF(Table73844[[#This Row],[ระยะทาง]]&gt;500,500,0)))</f>
        <v>0</v>
      </c>
    </row>
    <row r="244" spans="10:10" x14ac:dyDescent="0.25">
      <c r="J244" s="7">
        <f>IF(Table73844[[#This Row],[ระยะทาง]]&gt;999,1000,IF(Table73844[[#This Row],[ระยะทาง]]&gt;800,800,IF(Table73844[[#This Row],[ระยะทาง]]&gt;500,500,0)))</f>
        <v>0</v>
      </c>
    </row>
    <row r="245" spans="10:10" x14ac:dyDescent="0.25">
      <c r="J245" s="7">
        <f>IF(Table73844[[#This Row],[ระยะทาง]]&gt;999,1000,IF(Table73844[[#This Row],[ระยะทาง]]&gt;800,800,IF(Table73844[[#This Row],[ระยะทาง]]&gt;500,500,0)))</f>
        <v>0</v>
      </c>
    </row>
    <row r="246" spans="10:10" x14ac:dyDescent="0.25">
      <c r="J246" s="7">
        <f>IF(Table73844[[#This Row],[ระยะทาง]]&gt;999,1000,IF(Table73844[[#This Row],[ระยะทาง]]&gt;800,800,IF(Table73844[[#This Row],[ระยะทาง]]&gt;500,500,0)))</f>
        <v>0</v>
      </c>
    </row>
    <row r="247" spans="10:10" x14ac:dyDescent="0.25">
      <c r="J247" s="7">
        <f>IF(Table73844[[#This Row],[ระยะทาง]]&gt;999,1000,IF(Table73844[[#This Row],[ระยะทาง]]&gt;800,800,IF(Table73844[[#This Row],[ระยะทาง]]&gt;500,500,0)))</f>
        <v>0</v>
      </c>
    </row>
    <row r="248" spans="10:10" x14ac:dyDescent="0.25">
      <c r="J248" s="7">
        <f>IF(Table73844[[#This Row],[ระยะทาง]]&gt;999,1000,IF(Table73844[[#This Row],[ระยะทาง]]&gt;800,800,IF(Table73844[[#This Row],[ระยะทาง]]&gt;500,500,0)))</f>
        <v>0</v>
      </c>
    </row>
    <row r="249" spans="10:10" x14ac:dyDescent="0.25">
      <c r="J249" s="7">
        <f>IF(Table73844[[#This Row],[ระยะทาง]]&gt;999,1000,IF(Table73844[[#This Row],[ระยะทาง]]&gt;800,800,IF(Table73844[[#This Row],[ระยะทาง]]&gt;500,500,0)))</f>
        <v>0</v>
      </c>
    </row>
  </sheetData>
  <conditionalFormatting sqref="L1:L91 L93:L1048576">
    <cfRule type="duplicateValues" dxfId="45" priority="10"/>
  </conditionalFormatting>
  <conditionalFormatting sqref="C1:C136 C138:C149 C151:C165 C167:C1048576">
    <cfRule type="duplicateValues" dxfId="44" priority="9"/>
  </conditionalFormatting>
  <conditionalFormatting sqref="L92">
    <cfRule type="duplicateValues" dxfId="43" priority="8"/>
  </conditionalFormatting>
  <conditionalFormatting sqref="C137">
    <cfRule type="duplicateValues" dxfId="42" priority="7"/>
  </conditionalFormatting>
  <conditionalFormatting sqref="C150">
    <cfRule type="duplicateValues" dxfId="41" priority="6"/>
  </conditionalFormatting>
  <conditionalFormatting sqref="C166">
    <cfRule type="duplicateValues" dxfId="40" priority="5"/>
  </conditionalFormatting>
  <conditionalFormatting sqref="G2:G136 G138:G149 G151:G165 G167:G249">
    <cfRule type="duplicateValues" dxfId="39" priority="4"/>
  </conditionalFormatting>
  <conditionalFormatting sqref="G137">
    <cfRule type="duplicateValues" dxfId="38" priority="3"/>
  </conditionalFormatting>
  <conditionalFormatting sqref="G150">
    <cfRule type="duplicateValues" dxfId="37" priority="2"/>
  </conditionalFormatting>
  <conditionalFormatting sqref="G166">
    <cfRule type="duplicateValues" dxfId="36" priority="1"/>
  </conditionalFormatting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27"/>
  <sheetViews>
    <sheetView workbookViewId="0">
      <selection activeCell="O15" sqref="O15"/>
    </sheetView>
  </sheetViews>
  <sheetFormatPr defaultRowHeight="13.8" x14ac:dyDescent="0.25"/>
  <cols>
    <col min="1" max="2" width="5.59765625" customWidth="1"/>
    <col min="3" max="3" width="14.09765625" bestFit="1" customWidth="1"/>
    <col min="5" max="5" width="2.19921875" customWidth="1"/>
  </cols>
  <sheetData>
    <row r="1" spans="3:19" ht="14.4" thickBot="1" x14ac:dyDescent="0.3"/>
    <row r="2" spans="3:19" x14ac:dyDescent="0.25">
      <c r="C2" s="11" t="s">
        <v>420</v>
      </c>
      <c r="D2" s="34" t="s">
        <v>170</v>
      </c>
      <c r="E2" s="13" t="s">
        <v>422</v>
      </c>
      <c r="F2" s="34" t="s">
        <v>5</v>
      </c>
      <c r="G2" s="12">
        <f>VLOOKUP((D2&amp;E2&amp;F2),Table738[],2,0)</f>
        <v>1200</v>
      </c>
      <c r="H2" s="12"/>
      <c r="I2" s="12" t="s">
        <v>23</v>
      </c>
      <c r="J2" s="12" t="s">
        <v>30</v>
      </c>
      <c r="K2" s="12" t="s">
        <v>425</v>
      </c>
      <c r="L2" s="12" t="s">
        <v>427</v>
      </c>
      <c r="M2" s="14" t="s">
        <v>428</v>
      </c>
      <c r="O2" s="25"/>
      <c r="P2" s="26" t="s">
        <v>438</v>
      </c>
      <c r="Q2" s="26" t="s">
        <v>3</v>
      </c>
      <c r="R2" s="26" t="s">
        <v>20</v>
      </c>
      <c r="S2" s="27" t="s">
        <v>429</v>
      </c>
    </row>
    <row r="3" spans="3:19" x14ac:dyDescent="0.25">
      <c r="C3" s="15" t="s">
        <v>423</v>
      </c>
      <c r="D3" s="16"/>
      <c r="E3" s="17" t="s">
        <v>422</v>
      </c>
      <c r="F3" s="16"/>
      <c r="G3" s="16">
        <v>0</v>
      </c>
      <c r="H3" s="16"/>
      <c r="I3" s="16">
        <f>G4</f>
        <v>1200</v>
      </c>
      <c r="J3" s="16">
        <f>VLOOKUP((D2&amp;E2&amp;F2),Table738[],3,0)</f>
        <v>3.4</v>
      </c>
      <c r="K3" s="18">
        <f>I3/J3</f>
        <v>352.94117647058823</v>
      </c>
      <c r="L3" s="16">
        <v>24</v>
      </c>
      <c r="M3" s="19">
        <f>K3*L3</f>
        <v>8470.5882352941171</v>
      </c>
      <c r="O3" s="28" t="s">
        <v>439</v>
      </c>
      <c r="P3" s="24">
        <f>M3</f>
        <v>8470.5882352941171</v>
      </c>
      <c r="Q3" s="24">
        <f>M4</f>
        <v>6000</v>
      </c>
      <c r="R3" s="24">
        <f>M5</f>
        <v>0</v>
      </c>
      <c r="S3" s="29">
        <f t="shared" ref="S3:S6" si="0">SUM(P3:R3)</f>
        <v>14470.588235294117</v>
      </c>
    </row>
    <row r="4" spans="3:19" x14ac:dyDescent="0.25">
      <c r="C4" s="15" t="s">
        <v>424</v>
      </c>
      <c r="D4" s="16"/>
      <c r="E4" s="16"/>
      <c r="F4" s="16"/>
      <c r="G4" s="16">
        <f>SUM(G2:G3)</f>
        <v>1200</v>
      </c>
      <c r="H4" s="16"/>
      <c r="I4" s="35" t="s">
        <v>3</v>
      </c>
      <c r="J4" s="35"/>
      <c r="K4" s="35"/>
      <c r="L4" s="35"/>
      <c r="M4" s="19">
        <f>I3*5</f>
        <v>6000</v>
      </c>
      <c r="O4" s="28" t="s">
        <v>440</v>
      </c>
      <c r="P4" s="24">
        <f>M9</f>
        <v>0</v>
      </c>
      <c r="Q4" s="24">
        <f>M10</f>
        <v>0</v>
      </c>
      <c r="R4" s="24">
        <f>M11</f>
        <v>0</v>
      </c>
      <c r="S4" s="29">
        <f t="shared" si="0"/>
        <v>0</v>
      </c>
    </row>
    <row r="5" spans="3:19" x14ac:dyDescent="0.25">
      <c r="C5" s="15"/>
      <c r="D5" s="16"/>
      <c r="E5" s="16"/>
      <c r="F5" s="16"/>
      <c r="G5" s="16"/>
      <c r="H5" s="16"/>
      <c r="I5" s="35" t="s">
        <v>20</v>
      </c>
      <c r="J5" s="35"/>
      <c r="K5" s="35"/>
      <c r="L5" s="35"/>
      <c r="M5" s="19"/>
      <c r="O5" s="28" t="s">
        <v>441</v>
      </c>
      <c r="P5" s="24">
        <f>M15+M16</f>
        <v>15455.815384615385</v>
      </c>
      <c r="Q5" s="24">
        <f>M17</f>
        <v>6600</v>
      </c>
      <c r="R5" s="24">
        <f>M18</f>
        <v>3500</v>
      </c>
      <c r="S5" s="29">
        <f t="shared" si="0"/>
        <v>25555.815384615387</v>
      </c>
    </row>
    <row r="6" spans="3:19" ht="14.4" thickBot="1" x14ac:dyDescent="0.3">
      <c r="C6" s="21"/>
      <c r="D6" s="22"/>
      <c r="E6" s="22"/>
      <c r="F6" s="22"/>
      <c r="G6" s="22"/>
      <c r="H6" s="22"/>
      <c r="I6" s="36" t="s">
        <v>429</v>
      </c>
      <c r="J6" s="36"/>
      <c r="K6" s="36"/>
      <c r="L6" s="36"/>
      <c r="M6" s="23">
        <f>SUM(M3:M5)</f>
        <v>14470.588235294117</v>
      </c>
      <c r="O6" s="28" t="s">
        <v>442</v>
      </c>
      <c r="P6" s="24">
        <f>M22+M23+M24</f>
        <v>4436.6545454545449</v>
      </c>
      <c r="Q6" s="24">
        <f>M25</f>
        <v>2200</v>
      </c>
      <c r="R6" s="24">
        <f>M26</f>
        <v>1500</v>
      </c>
      <c r="S6" s="29">
        <f t="shared" si="0"/>
        <v>8136.6545454545449</v>
      </c>
    </row>
    <row r="7" spans="3:19" ht="14.4" thickBot="1" x14ac:dyDescent="0.3">
      <c r="O7" s="30" t="s">
        <v>429</v>
      </c>
      <c r="P7" s="31">
        <f>SUM(P3:P6)</f>
        <v>28363.058165364047</v>
      </c>
      <c r="Q7" s="31">
        <f>SUM(Q3:Q6)</f>
        <v>14800</v>
      </c>
      <c r="R7" s="31">
        <f>SUM(R3:R6)</f>
        <v>5000</v>
      </c>
      <c r="S7" s="32">
        <f>SUM(P7:R7)</f>
        <v>48163.058165364047</v>
      </c>
    </row>
    <row r="8" spans="3:19" ht="14.4" thickBot="1" x14ac:dyDescent="0.3">
      <c r="C8" s="11" t="s">
        <v>426</v>
      </c>
      <c r="D8" s="34"/>
      <c r="E8" s="12" t="s">
        <v>422</v>
      </c>
      <c r="F8" s="34"/>
      <c r="G8" s="12">
        <f>IF(D8="",0,VLOOKUP((D8&amp;E8&amp;F8),Table73844[],2,0))</f>
        <v>0</v>
      </c>
      <c r="H8" s="12"/>
      <c r="I8" s="12" t="s">
        <v>23</v>
      </c>
      <c r="J8" s="12" t="s">
        <v>30</v>
      </c>
      <c r="K8" s="12" t="s">
        <v>425</v>
      </c>
      <c r="L8" s="12" t="s">
        <v>427</v>
      </c>
      <c r="M8" s="14" t="s">
        <v>428</v>
      </c>
    </row>
    <row r="9" spans="3:19" x14ac:dyDescent="0.25">
      <c r="C9" s="15" t="s">
        <v>431</v>
      </c>
      <c r="D9" s="16"/>
      <c r="E9" s="16" t="s">
        <v>422</v>
      </c>
      <c r="F9" s="16"/>
      <c r="G9" s="16">
        <v>0</v>
      </c>
      <c r="H9" s="16"/>
      <c r="I9" s="16">
        <f>G10</f>
        <v>0</v>
      </c>
      <c r="J9" s="16">
        <f>IF(D8="",0,VLOOKUP((D8&amp;E8&amp;F8),Table73844[],3,0))</f>
        <v>0</v>
      </c>
      <c r="K9" s="18">
        <f>IF(D8="",0,I9/J9)</f>
        <v>0</v>
      </c>
      <c r="L9" s="16">
        <f>L3</f>
        <v>24</v>
      </c>
      <c r="M9" s="19">
        <f>K9*L9</f>
        <v>0</v>
      </c>
      <c r="O9" s="37" t="s">
        <v>443</v>
      </c>
      <c r="P9" s="38"/>
      <c r="Q9" s="39"/>
    </row>
    <row r="10" spans="3:19" x14ac:dyDescent="0.25">
      <c r="C10" s="15" t="s">
        <v>434</v>
      </c>
      <c r="D10" s="16"/>
      <c r="E10" s="16"/>
      <c r="F10" s="16"/>
      <c r="G10" s="16">
        <f>SUM(G8:G9)</f>
        <v>0</v>
      </c>
      <c r="H10" s="16"/>
      <c r="I10" s="35" t="s">
        <v>3</v>
      </c>
      <c r="J10" s="35"/>
      <c r="K10" s="35"/>
      <c r="L10" s="35"/>
      <c r="M10" s="19">
        <f>I9*5</f>
        <v>0</v>
      </c>
      <c r="O10" s="40" t="s">
        <v>444</v>
      </c>
      <c r="P10" s="35"/>
      <c r="Q10" s="20">
        <v>4950</v>
      </c>
    </row>
    <row r="11" spans="3:19" x14ac:dyDescent="0.25">
      <c r="C11" s="15"/>
      <c r="D11" s="16"/>
      <c r="E11" s="16"/>
      <c r="F11" s="16"/>
      <c r="G11" s="16"/>
      <c r="H11" s="16"/>
      <c r="I11" s="35" t="s">
        <v>20</v>
      </c>
      <c r="J11" s="35"/>
      <c r="K11" s="35"/>
      <c r="L11" s="35"/>
      <c r="M11" s="19">
        <f>IF(D8="",0,VLOOKUP((D8&amp;E8&amp;F8),Table73844[],4,0))</f>
        <v>0</v>
      </c>
      <c r="O11" s="40" t="s">
        <v>445</v>
      </c>
      <c r="P11" s="35"/>
      <c r="Q11" s="20">
        <v>5500</v>
      </c>
    </row>
    <row r="12" spans="3:19" ht="14.4" thickBot="1" x14ac:dyDescent="0.3">
      <c r="C12" s="21"/>
      <c r="D12" s="22"/>
      <c r="E12" s="22"/>
      <c r="F12" s="22"/>
      <c r="G12" s="22"/>
      <c r="H12" s="22"/>
      <c r="I12" s="36" t="s">
        <v>429</v>
      </c>
      <c r="J12" s="36"/>
      <c r="K12" s="36"/>
      <c r="L12" s="36"/>
      <c r="M12" s="23">
        <f>SUM(M9:M11)</f>
        <v>0</v>
      </c>
      <c r="O12" s="41" t="s">
        <v>446</v>
      </c>
      <c r="P12" s="36"/>
      <c r="Q12" s="33">
        <v>3900</v>
      </c>
    </row>
    <row r="13" spans="3:19" ht="14.4" thickBot="1" x14ac:dyDescent="0.3"/>
    <row r="14" spans="3:19" x14ac:dyDescent="0.25">
      <c r="C14" s="11" t="s">
        <v>430</v>
      </c>
      <c r="D14" s="34" t="str">
        <f>IF(F8="",IF(F2="","",F2),F8)</f>
        <v>หลังสวน</v>
      </c>
      <c r="E14" s="12" t="s">
        <v>422</v>
      </c>
      <c r="F14" s="34" t="s">
        <v>128</v>
      </c>
      <c r="G14" s="12">
        <f>VLOOKUP((D14&amp;E14&amp;F14),Table9[],2,0)</f>
        <v>1320</v>
      </c>
      <c r="H14" s="12"/>
      <c r="I14" s="12" t="s">
        <v>23</v>
      </c>
      <c r="J14" s="12" t="s">
        <v>30</v>
      </c>
      <c r="K14" s="12" t="s">
        <v>425</v>
      </c>
      <c r="L14" s="12" t="s">
        <v>427</v>
      </c>
      <c r="M14" s="14" t="s">
        <v>428</v>
      </c>
      <c r="O14" t="s">
        <v>447</v>
      </c>
    </row>
    <row r="15" spans="3:19" x14ac:dyDescent="0.25">
      <c r="C15" s="15" t="s">
        <v>432</v>
      </c>
      <c r="D15" s="16"/>
      <c r="E15" s="16" t="s">
        <v>422</v>
      </c>
      <c r="F15" s="16"/>
      <c r="G15" s="16">
        <v>0</v>
      </c>
      <c r="H15" s="16"/>
      <c r="I15" s="16">
        <f>G16</f>
        <v>1320</v>
      </c>
      <c r="J15" s="16">
        <f>VLOOKUP((D14&amp;E14&amp;F14),Table9[],3,0)</f>
        <v>2.6</v>
      </c>
      <c r="K15" s="18">
        <f>I15/J15</f>
        <v>507.69230769230768</v>
      </c>
      <c r="L15" s="16">
        <f>L3</f>
        <v>24</v>
      </c>
      <c r="M15" s="19">
        <f>K15*L15</f>
        <v>12184.615384615385</v>
      </c>
    </row>
    <row r="16" spans="3:19" x14ac:dyDescent="0.25">
      <c r="C16" s="15" t="s">
        <v>433</v>
      </c>
      <c r="D16" s="16"/>
      <c r="E16" s="16"/>
      <c r="F16" s="16"/>
      <c r="G16" s="16">
        <f>SUM(G14:G15)</f>
        <v>1320</v>
      </c>
      <c r="H16" s="16"/>
      <c r="I16" s="16">
        <f>G17</f>
        <v>29</v>
      </c>
      <c r="J16" s="16">
        <f>VLOOKUP((D14&amp;E14&amp;F14),Table9[],5,0)</f>
        <v>4.7</v>
      </c>
      <c r="K16" s="18">
        <f>I16*J16</f>
        <v>136.30000000000001</v>
      </c>
      <c r="L16" s="16">
        <f>L3</f>
        <v>24</v>
      </c>
      <c r="M16" s="19">
        <f>K16*L16</f>
        <v>3271.2000000000003</v>
      </c>
    </row>
    <row r="17" spans="3:13" x14ac:dyDescent="0.25">
      <c r="C17" s="15" t="s">
        <v>27</v>
      </c>
      <c r="D17" s="16"/>
      <c r="E17" s="16"/>
      <c r="F17" s="16"/>
      <c r="G17" s="16">
        <f>VLOOKUP((D14&amp;E14&amp;F14),Table9[],4,0)</f>
        <v>29</v>
      </c>
      <c r="H17" s="16"/>
      <c r="I17" s="35" t="s">
        <v>3</v>
      </c>
      <c r="J17" s="35"/>
      <c r="K17" s="35"/>
      <c r="L17" s="35"/>
      <c r="M17" s="19">
        <f>I15*5</f>
        <v>6600</v>
      </c>
    </row>
    <row r="18" spans="3:13" x14ac:dyDescent="0.25">
      <c r="C18" s="15"/>
      <c r="D18" s="16"/>
      <c r="E18" s="16"/>
      <c r="F18" s="16"/>
      <c r="G18" s="16"/>
      <c r="H18" s="16"/>
      <c r="I18" s="35" t="s">
        <v>20</v>
      </c>
      <c r="J18" s="35"/>
      <c r="K18" s="35"/>
      <c r="L18" s="35"/>
      <c r="M18" s="19">
        <f>VLOOKUP((D14&amp;E14&amp;F14),Table9[],6,0)</f>
        <v>3500</v>
      </c>
    </row>
    <row r="19" spans="3:13" ht="14.4" thickBot="1" x14ac:dyDescent="0.3">
      <c r="C19" s="21"/>
      <c r="D19" s="22"/>
      <c r="E19" s="22"/>
      <c r="F19" s="22"/>
      <c r="G19" s="22"/>
      <c r="H19" s="22"/>
      <c r="I19" s="36" t="s">
        <v>429</v>
      </c>
      <c r="J19" s="36"/>
      <c r="K19" s="36"/>
      <c r="L19" s="36"/>
      <c r="M19" s="23">
        <f>SUM(M15:M18)</f>
        <v>25555.815384615387</v>
      </c>
    </row>
    <row r="20" spans="3:13" ht="14.4" thickBot="1" x14ac:dyDescent="0.3"/>
    <row r="21" spans="3:13" x14ac:dyDescent="0.25">
      <c r="C21" s="11" t="s">
        <v>436</v>
      </c>
      <c r="D21" s="42" t="s">
        <v>38</v>
      </c>
      <c r="E21" s="42"/>
      <c r="F21" s="42"/>
      <c r="G21" s="12">
        <f>VLOOKUP(D21,Table12[],2,0)</f>
        <v>160</v>
      </c>
      <c r="H21" s="12"/>
      <c r="I21" s="12" t="s">
        <v>23</v>
      </c>
      <c r="J21" s="12" t="s">
        <v>30</v>
      </c>
      <c r="K21" s="12" t="s">
        <v>425</v>
      </c>
      <c r="L21" s="12" t="s">
        <v>427</v>
      </c>
      <c r="M21" s="14" t="s">
        <v>428</v>
      </c>
    </row>
    <row r="22" spans="3:13" x14ac:dyDescent="0.25">
      <c r="C22" s="15" t="s">
        <v>435</v>
      </c>
      <c r="D22" s="43" t="s">
        <v>42</v>
      </c>
      <c r="E22" s="43"/>
      <c r="F22" s="43"/>
      <c r="G22" s="16">
        <f>VLOOKUP(D22,Table13[],2,0)</f>
        <v>280</v>
      </c>
      <c r="H22" s="16"/>
      <c r="I22" s="16">
        <f>G21</f>
        <v>160</v>
      </c>
      <c r="J22" s="16">
        <f>VLOOKUP(D21,Table12[],3,0)</f>
        <v>2.2000000000000002</v>
      </c>
      <c r="K22" s="18">
        <f>I22/J22</f>
        <v>72.72727272727272</v>
      </c>
      <c r="L22" s="16">
        <f>L3</f>
        <v>24</v>
      </c>
      <c r="M22" s="19">
        <f>K22*L22</f>
        <v>1745.4545454545453</v>
      </c>
    </row>
    <row r="23" spans="3:13" x14ac:dyDescent="0.25">
      <c r="C23" s="15" t="s">
        <v>437</v>
      </c>
      <c r="D23" s="16"/>
      <c r="E23" s="16"/>
      <c r="F23" s="16"/>
      <c r="G23" s="16">
        <f>VLOOKUP(D21,Table12[],4,0)</f>
        <v>4</v>
      </c>
      <c r="H23" s="16"/>
      <c r="I23" s="16">
        <f>G22</f>
        <v>280</v>
      </c>
      <c r="J23" s="16">
        <f>VLOOKUP(D22,Table13[],3,0)</f>
        <v>3</v>
      </c>
      <c r="K23" s="18">
        <f>I23/J23</f>
        <v>93.333333333333329</v>
      </c>
      <c r="L23" s="16">
        <f>L3</f>
        <v>24</v>
      </c>
      <c r="M23" s="19">
        <f t="shared" ref="M23:M24" si="1">K23*L23</f>
        <v>2240</v>
      </c>
    </row>
    <row r="24" spans="3:13" x14ac:dyDescent="0.25">
      <c r="C24" s="15"/>
      <c r="D24" s="16"/>
      <c r="E24" s="16"/>
      <c r="F24" s="16"/>
      <c r="G24" s="16"/>
      <c r="H24" s="16"/>
      <c r="I24" s="16">
        <f>G23</f>
        <v>4</v>
      </c>
      <c r="J24" s="16">
        <f>VLOOKUP(D21,Table12[],5,0)</f>
        <v>4.7</v>
      </c>
      <c r="K24" s="18">
        <f>I24*J24</f>
        <v>18.8</v>
      </c>
      <c r="L24" s="16">
        <f>L3</f>
        <v>24</v>
      </c>
      <c r="M24" s="19">
        <f t="shared" si="1"/>
        <v>451.20000000000005</v>
      </c>
    </row>
    <row r="25" spans="3:13" x14ac:dyDescent="0.25">
      <c r="C25" s="15"/>
      <c r="D25" s="16"/>
      <c r="E25" s="16"/>
      <c r="F25" s="16"/>
      <c r="G25" s="16"/>
      <c r="H25" s="16"/>
      <c r="I25" s="35" t="s">
        <v>3</v>
      </c>
      <c r="J25" s="35"/>
      <c r="K25" s="35"/>
      <c r="L25" s="35"/>
      <c r="M25" s="19">
        <f>(I22+I23)*5</f>
        <v>2200</v>
      </c>
    </row>
    <row r="26" spans="3:13" x14ac:dyDescent="0.25">
      <c r="C26" s="15"/>
      <c r="D26" s="16"/>
      <c r="E26" s="16"/>
      <c r="F26" s="16"/>
      <c r="G26" s="16"/>
      <c r="H26" s="16"/>
      <c r="I26" s="35" t="s">
        <v>20</v>
      </c>
      <c r="J26" s="35"/>
      <c r="K26" s="35"/>
      <c r="L26" s="35"/>
      <c r="M26" s="19">
        <f>VLOOKUP(D21,Table12[],6,0)</f>
        <v>1500</v>
      </c>
    </row>
    <row r="27" spans="3:13" ht="14.4" thickBot="1" x14ac:dyDescent="0.3">
      <c r="C27" s="21"/>
      <c r="D27" s="22"/>
      <c r="E27" s="22"/>
      <c r="F27" s="22"/>
      <c r="G27" s="22"/>
      <c r="H27" s="22"/>
      <c r="I27" s="36" t="s">
        <v>429</v>
      </c>
      <c r="J27" s="36"/>
      <c r="K27" s="36"/>
      <c r="L27" s="36"/>
      <c r="M27" s="23">
        <f>SUM(M22:M26)</f>
        <v>8136.6545454545449</v>
      </c>
    </row>
  </sheetData>
  <mergeCells count="18">
    <mergeCell ref="D21:F21"/>
    <mergeCell ref="D22:F22"/>
    <mergeCell ref="I25:L25"/>
    <mergeCell ref="I10:L10"/>
    <mergeCell ref="I4:L4"/>
    <mergeCell ref="I5:L5"/>
    <mergeCell ref="I6:L6"/>
    <mergeCell ref="I11:L11"/>
    <mergeCell ref="I12:L12"/>
    <mergeCell ref="I26:L26"/>
    <mergeCell ref="I27:L27"/>
    <mergeCell ref="O9:Q9"/>
    <mergeCell ref="O10:P10"/>
    <mergeCell ref="O11:P11"/>
    <mergeCell ref="O12:P12"/>
    <mergeCell ref="I17:L17"/>
    <mergeCell ref="I18:L18"/>
    <mergeCell ref="I19:L19"/>
  </mergeCells>
  <dataValidations count="3">
    <dataValidation type="list" allowBlank="1" showInputMessage="1" showErrorMessage="1" sqref="D2 F2 D8 F8 D14 F14">
      <formula1>สถานที่</formula1>
    </dataValidation>
    <dataValidation type="list" allowBlank="1" showInputMessage="1" showErrorMessage="1" sqref="D21:F21">
      <formula1>เส้นทางหนักลาว</formula1>
    </dataValidation>
    <dataValidation type="list" allowBlank="1" showInputMessage="1" showErrorMessage="1" sqref="D22:F22">
      <formula1>เส้นทางเปล่าลาว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21"/>
  <sheetViews>
    <sheetView tabSelected="1" workbookViewId="0">
      <selection activeCell="L16" sqref="L16"/>
    </sheetView>
  </sheetViews>
  <sheetFormatPr defaultRowHeight="13.8" x14ac:dyDescent="0.25"/>
  <cols>
    <col min="3" max="3" width="11.5" customWidth="1"/>
    <col min="12" max="12" width="15.19921875" bestFit="1" customWidth="1"/>
  </cols>
  <sheetData>
    <row r="3" spans="3:19" x14ac:dyDescent="0.25">
      <c r="C3" s="44" t="s">
        <v>104</v>
      </c>
      <c r="D3" s="44"/>
      <c r="E3" s="44"/>
      <c r="F3" s="44"/>
      <c r="G3" s="44"/>
      <c r="H3" s="44"/>
      <c r="I3" s="44"/>
      <c r="J3" s="44"/>
      <c r="L3" s="44" t="s">
        <v>452</v>
      </c>
      <c r="M3" s="44"/>
      <c r="N3" s="44"/>
      <c r="O3" s="44"/>
      <c r="P3" s="44"/>
      <c r="Q3" s="44"/>
      <c r="R3" s="44"/>
      <c r="S3" s="44"/>
    </row>
    <row r="4" spans="3:19" x14ac:dyDescent="0.25">
      <c r="D4" t="s">
        <v>0</v>
      </c>
      <c r="E4" t="s">
        <v>1</v>
      </c>
      <c r="F4" t="s">
        <v>4</v>
      </c>
      <c r="G4" t="s">
        <v>5</v>
      </c>
      <c r="H4" t="s">
        <v>6</v>
      </c>
      <c r="I4" t="s">
        <v>7</v>
      </c>
      <c r="J4" t="s">
        <v>11</v>
      </c>
      <c r="M4" t="s">
        <v>0</v>
      </c>
      <c r="N4" t="s">
        <v>1</v>
      </c>
      <c r="O4" t="s">
        <v>4</v>
      </c>
      <c r="P4" t="s">
        <v>5</v>
      </c>
      <c r="Q4" t="s">
        <v>6</v>
      </c>
      <c r="R4" t="s">
        <v>7</v>
      </c>
      <c r="S4" t="s">
        <v>11</v>
      </c>
    </row>
    <row r="5" spans="3:19" x14ac:dyDescent="0.25">
      <c r="C5" t="s">
        <v>8</v>
      </c>
      <c r="D5">
        <v>680</v>
      </c>
      <c r="E5">
        <v>610</v>
      </c>
      <c r="F5">
        <v>1480</v>
      </c>
      <c r="G5">
        <v>1200</v>
      </c>
      <c r="H5">
        <v>1020</v>
      </c>
      <c r="I5">
        <v>980</v>
      </c>
      <c r="J5">
        <v>740</v>
      </c>
      <c r="L5" t="s">
        <v>448</v>
      </c>
      <c r="M5">
        <v>1150</v>
      </c>
      <c r="N5">
        <v>1100</v>
      </c>
      <c r="O5">
        <v>1680</v>
      </c>
      <c r="P5">
        <v>1450</v>
      </c>
      <c r="Q5">
        <v>460</v>
      </c>
      <c r="R5">
        <v>430</v>
      </c>
      <c r="S5">
        <v>1100</v>
      </c>
    </row>
    <row r="6" spans="3:19" x14ac:dyDescent="0.25">
      <c r="C6" t="s">
        <v>9</v>
      </c>
      <c r="D6">
        <v>800</v>
      </c>
      <c r="E6">
        <v>730</v>
      </c>
      <c r="F6">
        <v>1600</v>
      </c>
      <c r="G6">
        <v>1320</v>
      </c>
      <c r="H6">
        <v>1230</v>
      </c>
      <c r="I6">
        <v>1190</v>
      </c>
      <c r="J6">
        <v>860</v>
      </c>
      <c r="L6" t="s">
        <v>449</v>
      </c>
      <c r="M6">
        <v>1150</v>
      </c>
      <c r="N6">
        <v>1100</v>
      </c>
      <c r="O6">
        <v>1680</v>
      </c>
      <c r="P6">
        <v>1450</v>
      </c>
      <c r="Q6">
        <v>460</v>
      </c>
      <c r="R6">
        <v>430</v>
      </c>
      <c r="S6">
        <v>1100</v>
      </c>
    </row>
    <row r="7" spans="3:19" x14ac:dyDescent="0.25">
      <c r="C7" t="s">
        <v>10</v>
      </c>
      <c r="D7">
        <v>18</v>
      </c>
      <c r="E7">
        <v>15</v>
      </c>
      <c r="F7">
        <v>36</v>
      </c>
      <c r="G7">
        <v>29</v>
      </c>
      <c r="H7">
        <v>29</v>
      </c>
      <c r="I7">
        <v>28</v>
      </c>
      <c r="J7">
        <v>18</v>
      </c>
      <c r="L7" t="s">
        <v>10</v>
      </c>
      <c r="M7">
        <v>24</v>
      </c>
      <c r="N7">
        <v>23</v>
      </c>
      <c r="O7">
        <v>36</v>
      </c>
      <c r="P7">
        <v>29</v>
      </c>
      <c r="Q7">
        <v>10</v>
      </c>
      <c r="R7">
        <v>10</v>
      </c>
      <c r="S7">
        <v>23</v>
      </c>
    </row>
    <row r="8" spans="3:19" x14ac:dyDescent="0.25">
      <c r="C8" s="2" t="s">
        <v>12</v>
      </c>
      <c r="D8" s="3">
        <f>D5/3.4</f>
        <v>200</v>
      </c>
      <c r="E8" s="3">
        <f t="shared" ref="E8:J8" si="0">E5/3.4</f>
        <v>179.41176470588235</v>
      </c>
      <c r="F8" s="3">
        <f t="shared" si="0"/>
        <v>435.29411764705884</v>
      </c>
      <c r="G8" s="3">
        <f t="shared" si="0"/>
        <v>352.94117647058823</v>
      </c>
      <c r="H8" s="3">
        <f t="shared" si="0"/>
        <v>300</v>
      </c>
      <c r="I8" s="3">
        <f t="shared" si="0"/>
        <v>288.23529411764707</v>
      </c>
      <c r="J8" s="3">
        <f t="shared" si="0"/>
        <v>217.64705882352942</v>
      </c>
      <c r="L8" s="2" t="s">
        <v>12</v>
      </c>
      <c r="M8" s="3">
        <f>M5/3.4</f>
        <v>338.23529411764707</v>
      </c>
      <c r="N8" s="3">
        <f t="shared" ref="N8:S8" si="1">N5/3.4</f>
        <v>323.52941176470591</v>
      </c>
      <c r="O8" s="3">
        <f t="shared" si="1"/>
        <v>494.11764705882354</v>
      </c>
      <c r="P8" s="3">
        <f t="shared" si="1"/>
        <v>426.47058823529414</v>
      </c>
      <c r="Q8" s="3">
        <f t="shared" si="1"/>
        <v>135.29411764705884</v>
      </c>
      <c r="R8" s="3">
        <f t="shared" si="1"/>
        <v>126.47058823529412</v>
      </c>
      <c r="S8" s="3">
        <f t="shared" si="1"/>
        <v>323.52941176470591</v>
      </c>
    </row>
    <row r="9" spans="3:19" x14ac:dyDescent="0.25">
      <c r="C9" s="2" t="s">
        <v>13</v>
      </c>
      <c r="D9" s="3">
        <f>D6/2.6</f>
        <v>307.69230769230768</v>
      </c>
      <c r="E9" s="3">
        <f t="shared" ref="E9:J9" si="2">E6/2.6</f>
        <v>280.76923076923077</v>
      </c>
      <c r="F9" s="3">
        <f t="shared" si="2"/>
        <v>615.38461538461536</v>
      </c>
      <c r="G9" s="3">
        <f t="shared" si="2"/>
        <v>507.69230769230768</v>
      </c>
      <c r="H9" s="3">
        <f t="shared" si="2"/>
        <v>473.07692307692304</v>
      </c>
      <c r="I9" s="3">
        <f t="shared" si="2"/>
        <v>457.69230769230768</v>
      </c>
      <c r="J9" s="3">
        <f t="shared" si="2"/>
        <v>330.76923076923077</v>
      </c>
      <c r="L9" s="2" t="s">
        <v>13</v>
      </c>
      <c r="M9" s="3">
        <f>M6/2.6</f>
        <v>442.30769230769232</v>
      </c>
      <c r="N9" s="3">
        <f t="shared" ref="N9:S9" si="3">N6/2.6</f>
        <v>423.07692307692304</v>
      </c>
      <c r="O9" s="3">
        <f t="shared" si="3"/>
        <v>646.15384615384608</v>
      </c>
      <c r="P9" s="3">
        <f t="shared" si="3"/>
        <v>557.69230769230762</v>
      </c>
      <c r="Q9" s="3">
        <f t="shared" si="3"/>
        <v>176.92307692307691</v>
      </c>
      <c r="R9" s="3">
        <f t="shared" si="3"/>
        <v>165.38461538461539</v>
      </c>
      <c r="S9" s="3">
        <f t="shared" si="3"/>
        <v>423.07692307692304</v>
      </c>
    </row>
    <row r="10" spans="3:19" x14ac:dyDescent="0.25">
      <c r="C10" s="2" t="s">
        <v>14</v>
      </c>
      <c r="D10" s="3">
        <f>D7*4.7</f>
        <v>84.600000000000009</v>
      </c>
      <c r="E10" s="3">
        <f t="shared" ref="E10:J10" si="4">E7*4.7</f>
        <v>70.5</v>
      </c>
      <c r="F10" s="3">
        <f t="shared" si="4"/>
        <v>169.20000000000002</v>
      </c>
      <c r="G10" s="3">
        <f t="shared" si="4"/>
        <v>136.30000000000001</v>
      </c>
      <c r="H10" s="3">
        <f t="shared" si="4"/>
        <v>136.30000000000001</v>
      </c>
      <c r="I10" s="3">
        <f t="shared" si="4"/>
        <v>131.6</v>
      </c>
      <c r="J10" s="3">
        <f t="shared" si="4"/>
        <v>84.600000000000009</v>
      </c>
      <c r="L10" s="2" t="s">
        <v>14</v>
      </c>
      <c r="M10" s="3">
        <f>M7*4.7</f>
        <v>112.80000000000001</v>
      </c>
      <c r="N10" s="3">
        <f t="shared" ref="N10:S10" si="5">N7*4.7</f>
        <v>108.10000000000001</v>
      </c>
      <c r="O10" s="3">
        <f t="shared" si="5"/>
        <v>169.20000000000002</v>
      </c>
      <c r="P10" s="3">
        <f t="shared" si="5"/>
        <v>136.30000000000001</v>
      </c>
      <c r="Q10" s="3">
        <f t="shared" si="5"/>
        <v>47</v>
      </c>
      <c r="R10" s="3">
        <f t="shared" si="5"/>
        <v>47</v>
      </c>
      <c r="S10" s="3">
        <f t="shared" si="5"/>
        <v>108.10000000000001</v>
      </c>
    </row>
    <row r="11" spans="3:19" x14ac:dyDescent="0.25">
      <c r="C11" t="s">
        <v>15</v>
      </c>
      <c r="D11" s="1">
        <v>160</v>
      </c>
      <c r="E11" s="1">
        <v>160</v>
      </c>
      <c r="F11" s="1">
        <v>160</v>
      </c>
      <c r="G11" s="1">
        <v>160</v>
      </c>
      <c r="H11" s="1">
        <v>160</v>
      </c>
      <c r="I11" s="1">
        <v>160</v>
      </c>
      <c r="J11" s="1">
        <v>160</v>
      </c>
      <c r="L11" t="s">
        <v>450</v>
      </c>
      <c r="M11" s="1">
        <v>230</v>
      </c>
      <c r="N11" s="1">
        <v>230</v>
      </c>
      <c r="O11" s="1">
        <v>230</v>
      </c>
      <c r="P11" s="1">
        <v>230</v>
      </c>
      <c r="Q11" s="1">
        <v>230</v>
      </c>
      <c r="R11" s="1">
        <v>230</v>
      </c>
      <c r="S11" s="1">
        <v>230</v>
      </c>
    </row>
    <row r="12" spans="3:19" x14ac:dyDescent="0.25">
      <c r="C12" t="s">
        <v>16</v>
      </c>
      <c r="D12" s="1">
        <v>280</v>
      </c>
      <c r="E12" s="1">
        <v>280</v>
      </c>
      <c r="F12" s="1">
        <v>280</v>
      </c>
      <c r="G12" s="1">
        <v>280</v>
      </c>
      <c r="H12" s="1">
        <v>280</v>
      </c>
      <c r="I12" s="1">
        <v>280</v>
      </c>
      <c r="J12" s="1">
        <v>280</v>
      </c>
      <c r="L12" t="s">
        <v>451</v>
      </c>
      <c r="M12" s="1">
        <v>230</v>
      </c>
      <c r="N12" s="1">
        <v>230</v>
      </c>
      <c r="O12" s="1">
        <v>230</v>
      </c>
      <c r="P12" s="1">
        <v>230</v>
      </c>
      <c r="Q12" s="1">
        <v>230</v>
      </c>
      <c r="R12" s="1">
        <v>230</v>
      </c>
      <c r="S12" s="1">
        <v>230</v>
      </c>
    </row>
    <row r="13" spans="3:19" x14ac:dyDescent="0.25">
      <c r="C13" t="s">
        <v>10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L13" t="s">
        <v>10</v>
      </c>
      <c r="M13" s="1">
        <v>21</v>
      </c>
      <c r="N13" s="1">
        <v>21</v>
      </c>
      <c r="O13" s="1">
        <v>21</v>
      </c>
      <c r="P13" s="1">
        <v>21</v>
      </c>
      <c r="Q13" s="1">
        <v>21</v>
      </c>
      <c r="R13" s="1">
        <v>21</v>
      </c>
      <c r="S13" s="1">
        <v>21</v>
      </c>
    </row>
    <row r="14" spans="3:19" x14ac:dyDescent="0.25">
      <c r="C14" s="2" t="s">
        <v>17</v>
      </c>
      <c r="D14" s="3">
        <f>D11/2.2</f>
        <v>72.72727272727272</v>
      </c>
      <c r="E14" s="3">
        <f t="shared" ref="E14:J14" si="6">E11/2.2</f>
        <v>72.72727272727272</v>
      </c>
      <c r="F14" s="3">
        <f t="shared" si="6"/>
        <v>72.72727272727272</v>
      </c>
      <c r="G14" s="3">
        <f t="shared" si="6"/>
        <v>72.72727272727272</v>
      </c>
      <c r="H14" s="3">
        <f t="shared" si="6"/>
        <v>72.72727272727272</v>
      </c>
      <c r="I14" s="3">
        <f t="shared" si="6"/>
        <v>72.72727272727272</v>
      </c>
      <c r="J14" s="3">
        <f t="shared" si="6"/>
        <v>72.72727272727272</v>
      </c>
      <c r="L14" s="2" t="s">
        <v>453</v>
      </c>
      <c r="M14" s="3">
        <f>M11/2.2</f>
        <v>104.54545454545453</v>
      </c>
      <c r="N14" s="3">
        <f t="shared" ref="N14:S14" si="7">N11/2.2</f>
        <v>104.54545454545453</v>
      </c>
      <c r="O14" s="3">
        <f t="shared" si="7"/>
        <v>104.54545454545453</v>
      </c>
      <c r="P14" s="3">
        <f t="shared" si="7"/>
        <v>104.54545454545453</v>
      </c>
      <c r="Q14" s="3">
        <f t="shared" si="7"/>
        <v>104.54545454545453</v>
      </c>
      <c r="R14" s="3">
        <f t="shared" si="7"/>
        <v>104.54545454545453</v>
      </c>
      <c r="S14" s="3">
        <f t="shared" si="7"/>
        <v>104.54545454545453</v>
      </c>
    </row>
    <row r="15" spans="3:19" x14ac:dyDescent="0.25">
      <c r="C15" s="2" t="s">
        <v>18</v>
      </c>
      <c r="D15" s="3">
        <f>D12/3</f>
        <v>93.333333333333329</v>
      </c>
      <c r="E15" s="3">
        <f t="shared" ref="E15:J15" si="8">E12/3</f>
        <v>93.333333333333329</v>
      </c>
      <c r="F15" s="3">
        <f t="shared" si="8"/>
        <v>93.333333333333329</v>
      </c>
      <c r="G15" s="3">
        <f t="shared" si="8"/>
        <v>93.333333333333329</v>
      </c>
      <c r="H15" s="3">
        <f t="shared" si="8"/>
        <v>93.333333333333329</v>
      </c>
      <c r="I15" s="3">
        <f t="shared" si="8"/>
        <v>93.333333333333329</v>
      </c>
      <c r="J15" s="3">
        <f t="shared" si="8"/>
        <v>93.333333333333329</v>
      </c>
      <c r="L15" s="2" t="s">
        <v>454</v>
      </c>
      <c r="M15" s="3">
        <f>M12/3</f>
        <v>76.666666666666671</v>
      </c>
      <c r="N15" s="3">
        <f t="shared" ref="N15:S15" si="9">N12/3</f>
        <v>76.666666666666671</v>
      </c>
      <c r="O15" s="3">
        <f t="shared" si="9"/>
        <v>76.666666666666671</v>
      </c>
      <c r="P15" s="3">
        <f t="shared" si="9"/>
        <v>76.666666666666671</v>
      </c>
      <c r="Q15" s="3">
        <f t="shared" si="9"/>
        <v>76.666666666666671</v>
      </c>
      <c r="R15" s="3">
        <f t="shared" si="9"/>
        <v>76.666666666666671</v>
      </c>
      <c r="S15" s="3">
        <f t="shared" si="9"/>
        <v>76.666666666666671</v>
      </c>
    </row>
    <row r="16" spans="3:19" x14ac:dyDescent="0.25">
      <c r="C16" s="2" t="s">
        <v>14</v>
      </c>
      <c r="D16" s="3">
        <f>D13*4.7</f>
        <v>18.8</v>
      </c>
      <c r="E16" s="3">
        <f t="shared" ref="E16:J16" si="10">E13*4.7</f>
        <v>18.8</v>
      </c>
      <c r="F16" s="3">
        <f t="shared" si="10"/>
        <v>18.8</v>
      </c>
      <c r="G16" s="3">
        <f t="shared" si="10"/>
        <v>18.8</v>
      </c>
      <c r="H16" s="3">
        <f t="shared" si="10"/>
        <v>18.8</v>
      </c>
      <c r="I16" s="3">
        <f t="shared" si="10"/>
        <v>18.8</v>
      </c>
      <c r="J16" s="3">
        <f t="shared" si="10"/>
        <v>18.8</v>
      </c>
      <c r="L16" s="2" t="s">
        <v>14</v>
      </c>
      <c r="M16" s="3">
        <f>M13*4.7</f>
        <v>98.7</v>
      </c>
      <c r="N16" s="3">
        <f t="shared" ref="N16:S16" si="11">N13*4.7</f>
        <v>98.7</v>
      </c>
      <c r="O16" s="3">
        <f t="shared" si="11"/>
        <v>98.7</v>
      </c>
      <c r="P16" s="3">
        <f t="shared" si="11"/>
        <v>98.7</v>
      </c>
      <c r="Q16" s="3">
        <f t="shared" si="11"/>
        <v>98.7</v>
      </c>
      <c r="R16" s="3">
        <f t="shared" si="11"/>
        <v>98.7</v>
      </c>
      <c r="S16" s="3">
        <f t="shared" si="11"/>
        <v>98.7</v>
      </c>
    </row>
    <row r="17" spans="3:19" x14ac:dyDescent="0.25">
      <c r="C17" s="2" t="s">
        <v>2</v>
      </c>
      <c r="D17" s="3">
        <f>D8+D9+D10+D14+D15+D16</f>
        <v>777.15291375291372</v>
      </c>
      <c r="E17" s="3">
        <f t="shared" ref="E17:J17" si="12">E8+E9+E10+E14+E15+E16</f>
        <v>715.54160153571922</v>
      </c>
      <c r="F17" s="3">
        <f t="shared" si="12"/>
        <v>1404.7393390922803</v>
      </c>
      <c r="G17" s="3">
        <f t="shared" si="12"/>
        <v>1181.7940902235018</v>
      </c>
      <c r="H17" s="3">
        <f t="shared" si="12"/>
        <v>1094.237529137529</v>
      </c>
      <c r="I17" s="3">
        <f t="shared" si="12"/>
        <v>1062.3882078705608</v>
      </c>
      <c r="J17" s="3">
        <f t="shared" si="12"/>
        <v>817.87689565336632</v>
      </c>
      <c r="L17" s="2" t="s">
        <v>2</v>
      </c>
      <c r="M17" s="3">
        <f>M8+M9+M10+M14+M15+M16</f>
        <v>1173.2551076374607</v>
      </c>
      <c r="N17" s="3">
        <f t="shared" ref="N17:S17" si="13">N8+N9+N10+N14+N15+N16</f>
        <v>1134.6184560537502</v>
      </c>
      <c r="O17" s="3">
        <f t="shared" si="13"/>
        <v>1589.3836144247909</v>
      </c>
      <c r="P17" s="3">
        <f t="shared" si="13"/>
        <v>1400.375017139723</v>
      </c>
      <c r="Q17" s="3">
        <f t="shared" si="13"/>
        <v>639.12931578225698</v>
      </c>
      <c r="R17" s="3">
        <f t="shared" si="13"/>
        <v>618.76732483203068</v>
      </c>
      <c r="S17" s="3">
        <f t="shared" si="13"/>
        <v>1134.6184560537502</v>
      </c>
    </row>
    <row r="18" spans="3:19" x14ac:dyDescent="0.25">
      <c r="C18" s="4" t="s">
        <v>19</v>
      </c>
      <c r="D18" s="4">
        <f>D17*24</f>
        <v>18651.669930069929</v>
      </c>
      <c r="E18" s="4">
        <f t="shared" ref="E18:J18" si="14">E17*24</f>
        <v>17172.998436857262</v>
      </c>
      <c r="F18" s="4">
        <f t="shared" si="14"/>
        <v>33713.744138214723</v>
      </c>
      <c r="G18" s="4">
        <f t="shared" si="14"/>
        <v>28363.058165364044</v>
      </c>
      <c r="H18" s="4">
        <f t="shared" si="14"/>
        <v>26261.700699300694</v>
      </c>
      <c r="I18" s="4">
        <f t="shared" si="14"/>
        <v>25497.316988893457</v>
      </c>
      <c r="J18" s="4">
        <f t="shared" si="14"/>
        <v>19629.045495680792</v>
      </c>
      <c r="L18" s="4" t="s">
        <v>19</v>
      </c>
      <c r="M18" s="4">
        <f>M17*24</f>
        <v>28158.122583299057</v>
      </c>
      <c r="N18" s="4">
        <f t="shared" ref="N18:S18" si="15">N17*24</f>
        <v>27230.842945290002</v>
      </c>
      <c r="O18" s="4">
        <f t="shared" si="15"/>
        <v>38145.206746194985</v>
      </c>
      <c r="P18" s="4">
        <f t="shared" si="15"/>
        <v>33609.000411353351</v>
      </c>
      <c r="Q18" s="4">
        <f t="shared" si="15"/>
        <v>15339.103578774168</v>
      </c>
      <c r="R18" s="4">
        <f t="shared" si="15"/>
        <v>14850.415795968736</v>
      </c>
      <c r="S18" s="4">
        <f t="shared" si="15"/>
        <v>27230.842945290002</v>
      </c>
    </row>
    <row r="19" spans="3:19" x14ac:dyDescent="0.25">
      <c r="C19" s="4" t="s">
        <v>3</v>
      </c>
      <c r="D19" s="4">
        <f>(D5+D6+D11+D12)*5</f>
        <v>9600</v>
      </c>
      <c r="E19" s="4">
        <f t="shared" ref="E19:J19" si="16">(E5+E6+E11+E12)*5</f>
        <v>8900</v>
      </c>
      <c r="F19" s="4">
        <f t="shared" si="16"/>
        <v>17600</v>
      </c>
      <c r="G19" s="4">
        <f t="shared" si="16"/>
        <v>14800</v>
      </c>
      <c r="H19" s="4">
        <f t="shared" si="16"/>
        <v>13450</v>
      </c>
      <c r="I19" s="4">
        <f t="shared" si="16"/>
        <v>13050</v>
      </c>
      <c r="J19" s="4">
        <f t="shared" si="16"/>
        <v>10200</v>
      </c>
      <c r="L19" s="4" t="s">
        <v>3</v>
      </c>
      <c r="M19" s="4">
        <f>(M5+M6+M11+M12)*5</f>
        <v>13800</v>
      </c>
      <c r="N19" s="4">
        <f t="shared" ref="N19:S19" si="17">(N5+N6+N11+N12)*5</f>
        <v>13300</v>
      </c>
      <c r="O19" s="4">
        <f t="shared" si="17"/>
        <v>19100</v>
      </c>
      <c r="P19" s="4">
        <f t="shared" si="17"/>
        <v>16800</v>
      </c>
      <c r="Q19" s="4">
        <f t="shared" si="17"/>
        <v>6900</v>
      </c>
      <c r="R19" s="4">
        <f t="shared" si="17"/>
        <v>6600</v>
      </c>
      <c r="S19" s="4">
        <f t="shared" si="17"/>
        <v>13300</v>
      </c>
    </row>
    <row r="20" spans="3:19" x14ac:dyDescent="0.25">
      <c r="C20" s="4" t="s">
        <v>20</v>
      </c>
      <c r="D20" s="4">
        <v>4000</v>
      </c>
      <c r="E20" s="4">
        <v>4000</v>
      </c>
      <c r="F20" s="4">
        <v>5500</v>
      </c>
      <c r="G20" s="4">
        <v>5000</v>
      </c>
      <c r="H20" s="4">
        <v>4500</v>
      </c>
      <c r="I20" s="4">
        <v>4500</v>
      </c>
      <c r="J20" s="4">
        <v>4000</v>
      </c>
      <c r="L20" s="4" t="s">
        <v>20</v>
      </c>
      <c r="M20" s="4">
        <v>4000</v>
      </c>
      <c r="N20" s="4">
        <v>4000</v>
      </c>
      <c r="O20" s="4">
        <v>5500</v>
      </c>
      <c r="P20" s="4">
        <v>5000</v>
      </c>
      <c r="Q20" s="4">
        <v>4500</v>
      </c>
      <c r="R20" s="4">
        <v>4500</v>
      </c>
      <c r="S20" s="4">
        <v>4000</v>
      </c>
    </row>
    <row r="21" spans="3:19" x14ac:dyDescent="0.25">
      <c r="C21" s="4" t="s">
        <v>21</v>
      </c>
      <c r="D21" s="5">
        <f>SUM(D18:D20)</f>
        <v>32251.669930069929</v>
      </c>
      <c r="E21" s="5">
        <f t="shared" ref="E21:J21" si="18">SUM(E18:E20)</f>
        <v>30072.998436857262</v>
      </c>
      <c r="F21" s="5">
        <f t="shared" si="18"/>
        <v>56813.744138214723</v>
      </c>
      <c r="G21" s="5">
        <f t="shared" si="18"/>
        <v>48163.05816536404</v>
      </c>
      <c r="H21" s="5">
        <f t="shared" si="18"/>
        <v>44211.700699300694</v>
      </c>
      <c r="I21" s="5">
        <f t="shared" si="18"/>
        <v>43047.316988893457</v>
      </c>
      <c r="J21" s="5">
        <f t="shared" si="18"/>
        <v>33829.045495680795</v>
      </c>
      <c r="L21" s="4" t="s">
        <v>21</v>
      </c>
      <c r="M21" s="5">
        <f>SUM(M18:M20)</f>
        <v>45958.12258329906</v>
      </c>
      <c r="N21" s="5">
        <f t="shared" ref="N21:S21" si="19">SUM(N18:N20)</f>
        <v>44530.842945290002</v>
      </c>
      <c r="O21" s="5">
        <f t="shared" si="19"/>
        <v>62745.206746194985</v>
      </c>
      <c r="P21" s="5">
        <f t="shared" si="19"/>
        <v>55409.000411353351</v>
      </c>
      <c r="Q21" s="5">
        <f t="shared" si="19"/>
        <v>26739.103578774168</v>
      </c>
      <c r="R21" s="5">
        <f t="shared" si="19"/>
        <v>25950.415795968736</v>
      </c>
      <c r="S21" s="5">
        <f t="shared" si="19"/>
        <v>44530.842945290002</v>
      </c>
    </row>
  </sheetData>
  <mergeCells count="2">
    <mergeCell ref="L3:S3"/>
    <mergeCell ref="C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4</vt:i4>
      </vt:variant>
    </vt:vector>
  </HeadingPairs>
  <TitlesOfParts>
    <vt:vector size="7" baseType="lpstr">
      <vt:lpstr>D.Path</vt:lpstr>
      <vt:lpstr>คำนวนต้นทุน</vt:lpstr>
      <vt:lpstr>Sheet1</vt:lpstr>
      <vt:lpstr>ต้นทาง</vt:lpstr>
      <vt:lpstr>สถานที่</vt:lpstr>
      <vt:lpstr>เส้นทางเปล่าลาว</vt:lpstr>
      <vt:lpstr>เส้นทางหนักลาว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I3reeze Oscar</dc:creator>
  <cp:lastModifiedBy>I3reeze Oscar</cp:lastModifiedBy>
  <dcterms:created xsi:type="dcterms:W3CDTF">2015-09-08T00:28:51Z</dcterms:created>
  <dcterms:modified xsi:type="dcterms:W3CDTF">2015-09-09T03:28:49Z</dcterms:modified>
</cp:coreProperties>
</file>